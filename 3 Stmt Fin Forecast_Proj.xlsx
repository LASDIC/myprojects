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nesedickson/Documents/"/>
    </mc:Choice>
  </mc:AlternateContent>
  <xr:revisionPtr revIDLastSave="0" documentId="8_{FEA8B1CD-DE84-1B49-B353-89EF7F3627AC}" xr6:coauthVersionLast="47" xr6:coauthVersionMax="47" xr10:uidLastSave="{00000000-0000-0000-0000-000000000000}"/>
  <bookViews>
    <workbookView xWindow="0" yWindow="0" windowWidth="38400" windowHeight="21600" xr2:uid="{4EE2EB08-FA94-6A42-9A67-F7EA39F7AE5C}"/>
  </bookViews>
  <sheets>
    <sheet name="Income Statement" sheetId="1" r:id="rId1"/>
    <sheet name="Balance Sheet" sheetId="2" r:id="rId2"/>
    <sheet name="Statement of Cashflow" sheetId="3" r:id="rId3"/>
    <sheet name="Fixed Assets" sheetId="4" r:id="rId4"/>
    <sheet name="Goal Seek" sheetId="5" r:id="rId5"/>
    <sheet name="Sensitivity" sheetId="6" r:id="rId6"/>
    <sheet name="Scenario" sheetId="7" r:id="rId7"/>
  </sheets>
  <definedNames>
    <definedName name="solver_adj" localSheetId="4" hidden="1">'Goal Seek'!$C$5:$C$6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itr" localSheetId="4" hidden="1">2147483647</definedName>
    <definedName name="solver_lhs1" localSheetId="4" hidden="1">'Goal Seek'!$C$5</definedName>
    <definedName name="solver_lhs2" localSheetId="4" hidden="1">'Goal Seek'!$C$6</definedName>
    <definedName name="solver_lin" localSheetId="4" hidden="1">2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2</definedName>
    <definedName name="solver_nod" localSheetId="4" hidden="1">2147483647</definedName>
    <definedName name="solver_num" localSheetId="4" hidden="1">2</definedName>
    <definedName name="solver_opt" localSheetId="4" hidden="1">'Goal Seek'!$F$11</definedName>
    <definedName name="solver_pre" localSheetId="4" hidden="1">0.000001</definedName>
    <definedName name="solver_rbv" localSheetId="4" hidden="1">1</definedName>
    <definedName name="solver_rel1" localSheetId="4" hidden="1">1</definedName>
    <definedName name="solver_rel2" localSheetId="4" hidden="1">1</definedName>
    <definedName name="solver_rhs1" localSheetId="4" hidden="1">'Goal Seek'!$C$13</definedName>
    <definedName name="solver_rhs2" localSheetId="4" hidden="1">'Goal Seek'!$C$14</definedName>
    <definedName name="solver_rlx" localSheetId="4" hidden="1">1</definedName>
    <definedName name="solver_rsd" localSheetId="4" hidden="1">0</definedName>
    <definedName name="solver_scl" localSheetId="4" hidden="1">2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3</definedName>
    <definedName name="solver_val" localSheetId="4" hidden="1">100000</definedName>
    <definedName name="solver_ver" localSheetId="4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7" l="1"/>
  <c r="D5" i="7"/>
  <c r="C5" i="7"/>
  <c r="E4" i="7"/>
  <c r="D4" i="7"/>
  <c r="D6" i="7" s="1"/>
  <c r="C4" i="7"/>
  <c r="D3" i="7"/>
  <c r="E3" i="7" s="1"/>
  <c r="I8" i="6"/>
  <c r="I9" i="6" s="1"/>
  <c r="F8" i="6"/>
  <c r="I6" i="6"/>
  <c r="I5" i="6" s="1"/>
  <c r="F6" i="6"/>
  <c r="F5" i="6"/>
  <c r="M4" i="6"/>
  <c r="N4" i="6" s="1"/>
  <c r="K4" i="6"/>
  <c r="J4" i="6" s="1"/>
  <c r="F8" i="5"/>
  <c r="F6" i="5"/>
  <c r="F5" i="5"/>
  <c r="F7" i="5" s="1"/>
  <c r="F9" i="5" s="1"/>
  <c r="D15" i="3"/>
  <c r="E15" i="3"/>
  <c r="F15" i="3"/>
  <c r="F17" i="3" s="1"/>
  <c r="G15" i="3"/>
  <c r="D16" i="3"/>
  <c r="E16" i="3"/>
  <c r="F16" i="3"/>
  <c r="G16" i="3"/>
  <c r="G17" i="3" s="1"/>
  <c r="E17" i="3"/>
  <c r="C16" i="3"/>
  <c r="C15" i="3"/>
  <c r="C17" i="3" s="1"/>
  <c r="C12" i="3"/>
  <c r="C13" i="3" s="1"/>
  <c r="D3" i="3"/>
  <c r="E3" i="3" s="1"/>
  <c r="F3" i="3" s="1"/>
  <c r="G3" i="3" s="1"/>
  <c r="D24" i="2"/>
  <c r="E24" i="2" s="1"/>
  <c r="F24" i="2" s="1"/>
  <c r="D20" i="2"/>
  <c r="D42" i="2" s="1"/>
  <c r="C23" i="1" s="1"/>
  <c r="C36" i="2"/>
  <c r="D36" i="2" s="1"/>
  <c r="C35" i="2"/>
  <c r="D35" i="2" s="1"/>
  <c r="C34" i="2"/>
  <c r="D34" i="2" s="1"/>
  <c r="B35" i="2"/>
  <c r="B36" i="2"/>
  <c r="B34" i="2"/>
  <c r="C26" i="2"/>
  <c r="C21" i="2"/>
  <c r="C18" i="2"/>
  <c r="C22" i="2" s="1"/>
  <c r="C11" i="2"/>
  <c r="C12" i="2" s="1"/>
  <c r="C7" i="2"/>
  <c r="D3" i="2"/>
  <c r="E3" i="2" s="1"/>
  <c r="F3" i="2" s="1"/>
  <c r="G3" i="2" s="1"/>
  <c r="H3" i="2" s="1"/>
  <c r="C21" i="1"/>
  <c r="D15" i="4"/>
  <c r="D10" i="2" s="1"/>
  <c r="E10" i="2" s="1"/>
  <c r="F10" i="2" s="1"/>
  <c r="G10" i="2" s="1"/>
  <c r="H10" i="2" s="1"/>
  <c r="H14" i="4"/>
  <c r="H13" i="4"/>
  <c r="H12" i="4"/>
  <c r="H15" i="4" s="1"/>
  <c r="G12" i="4"/>
  <c r="D12" i="4"/>
  <c r="E14" i="4"/>
  <c r="F14" i="4"/>
  <c r="G14" i="4"/>
  <c r="E13" i="4"/>
  <c r="F13" i="4"/>
  <c r="G13" i="4"/>
  <c r="G15" i="4" s="1"/>
  <c r="D14" i="4"/>
  <c r="D13" i="4"/>
  <c r="E12" i="4"/>
  <c r="E15" i="4" s="1"/>
  <c r="F12" i="4"/>
  <c r="F15" i="4" s="1"/>
  <c r="E8" i="4"/>
  <c r="D12" i="3" s="1"/>
  <c r="D13" i="3" s="1"/>
  <c r="F8" i="4"/>
  <c r="E12" i="3" s="1"/>
  <c r="E13" i="3" s="1"/>
  <c r="G8" i="4"/>
  <c r="F12" i="3" s="1"/>
  <c r="F13" i="3" s="1"/>
  <c r="H8" i="4"/>
  <c r="G12" i="3" s="1"/>
  <c r="G13" i="3" s="1"/>
  <c r="D8" i="4"/>
  <c r="D9" i="2" s="1"/>
  <c r="E3" i="4"/>
  <c r="F3" i="4" s="1"/>
  <c r="G3" i="4" s="1"/>
  <c r="H3" i="4" s="1"/>
  <c r="D5" i="1"/>
  <c r="D6" i="1" s="1"/>
  <c r="D7" i="1" s="1"/>
  <c r="E32" i="2" s="1"/>
  <c r="E5" i="1"/>
  <c r="E17" i="1" s="1"/>
  <c r="F5" i="1"/>
  <c r="F10" i="1" s="1"/>
  <c r="G5" i="1"/>
  <c r="D9" i="1"/>
  <c r="D10" i="1"/>
  <c r="E10" i="1"/>
  <c r="E11" i="1"/>
  <c r="D16" i="1"/>
  <c r="E16" i="1"/>
  <c r="F16" i="1"/>
  <c r="D17" i="1"/>
  <c r="D18" i="1"/>
  <c r="E18" i="1"/>
  <c r="C5" i="1"/>
  <c r="C18" i="1" s="1"/>
  <c r="B44" i="1"/>
  <c r="B43" i="1"/>
  <c r="B42" i="1"/>
  <c r="B39" i="1"/>
  <c r="B38" i="1"/>
  <c r="B37" i="1"/>
  <c r="B34" i="1"/>
  <c r="D3" i="1"/>
  <c r="E3" i="1" s="1"/>
  <c r="F3" i="1" s="1"/>
  <c r="G3" i="1" s="1"/>
  <c r="E6" i="3" l="1"/>
  <c r="E21" i="1"/>
  <c r="D6" i="3"/>
  <c r="D21" i="1"/>
  <c r="E9" i="2"/>
  <c r="D11" i="2"/>
  <c r="D12" i="2" s="1"/>
  <c r="F6" i="3"/>
  <c r="F21" i="1"/>
  <c r="G6" i="3"/>
  <c r="G21" i="1"/>
  <c r="E19" i="1"/>
  <c r="F9" i="1"/>
  <c r="E20" i="2"/>
  <c r="F18" i="1"/>
  <c r="F19" i="1" s="1"/>
  <c r="D19" i="1"/>
  <c r="E9" i="1"/>
  <c r="E12" i="1" s="1"/>
  <c r="F33" i="2" s="1"/>
  <c r="C27" i="2"/>
  <c r="C6" i="3"/>
  <c r="D17" i="3"/>
  <c r="C13" i="2"/>
  <c r="C29" i="2" s="1"/>
  <c r="D21" i="2"/>
  <c r="F11" i="1"/>
  <c r="D12" i="1"/>
  <c r="E33" i="2" s="1"/>
  <c r="F6" i="1"/>
  <c r="F7" i="1" s="1"/>
  <c r="F17" i="1"/>
  <c r="D11" i="1"/>
  <c r="E6" i="1"/>
  <c r="E7" i="1" s="1"/>
  <c r="E6" i="7"/>
  <c r="C6" i="7"/>
  <c r="F7" i="6"/>
  <c r="F9" i="6" s="1"/>
  <c r="F10" i="6" s="1"/>
  <c r="F11" i="6" s="1"/>
  <c r="I4" i="6" s="1"/>
  <c r="F10" i="5"/>
  <c r="F11" i="5" s="1"/>
  <c r="G24" i="2"/>
  <c r="D6" i="2"/>
  <c r="E34" i="2"/>
  <c r="E35" i="2"/>
  <c r="D17" i="2"/>
  <c r="C9" i="3" s="1"/>
  <c r="E36" i="2"/>
  <c r="D13" i="1"/>
  <c r="G9" i="1"/>
  <c r="G16" i="1"/>
  <c r="G11" i="1"/>
  <c r="G6" i="1"/>
  <c r="G7" i="1" s="1"/>
  <c r="H32" i="2" s="1"/>
  <c r="G10" i="1"/>
  <c r="G18" i="1"/>
  <c r="G17" i="1"/>
  <c r="C6" i="1"/>
  <c r="C7" i="1" s="1"/>
  <c r="D32" i="2" s="1"/>
  <c r="C9" i="1"/>
  <c r="C11" i="1"/>
  <c r="C10" i="1"/>
  <c r="C12" i="1" s="1"/>
  <c r="D33" i="2" s="1"/>
  <c r="D16" i="2" s="1"/>
  <c r="C8" i="3" s="1"/>
  <c r="C16" i="1"/>
  <c r="C17" i="1"/>
  <c r="F20" i="2" l="1"/>
  <c r="E21" i="2"/>
  <c r="E42" i="2"/>
  <c r="D23" i="1" s="1"/>
  <c r="C19" i="1"/>
  <c r="F9" i="2"/>
  <c r="E11" i="2"/>
  <c r="E12" i="2" s="1"/>
  <c r="C7" i="3"/>
  <c r="C10" i="3" s="1"/>
  <c r="G19" i="1"/>
  <c r="E13" i="1"/>
  <c r="F32" i="2"/>
  <c r="F12" i="1"/>
  <c r="G33" i="2" s="1"/>
  <c r="G12" i="1"/>
  <c r="H33" i="2" s="1"/>
  <c r="G32" i="2"/>
  <c r="H24" i="2"/>
  <c r="F35" i="2"/>
  <c r="E16" i="2"/>
  <c r="D8" i="3" s="1"/>
  <c r="E17" i="2"/>
  <c r="D9" i="3" s="1"/>
  <c r="F36" i="2"/>
  <c r="D18" i="2"/>
  <c r="D22" i="2" s="1"/>
  <c r="F34" i="2"/>
  <c r="E6" i="2"/>
  <c r="D14" i="1"/>
  <c r="D20" i="1"/>
  <c r="D22" i="1" s="1"/>
  <c r="D24" i="1" s="1"/>
  <c r="G13" i="1"/>
  <c r="C13" i="1"/>
  <c r="E14" i="1" l="1"/>
  <c r="E20" i="1"/>
  <c r="E22" i="1" s="1"/>
  <c r="G9" i="2"/>
  <c r="F11" i="2"/>
  <c r="F12" i="2" s="1"/>
  <c r="D7" i="3"/>
  <c r="D10" i="3" s="1"/>
  <c r="F13" i="1"/>
  <c r="G20" i="2"/>
  <c r="F21" i="2"/>
  <c r="F42" i="2"/>
  <c r="E23" i="1" s="1"/>
  <c r="G34" i="2"/>
  <c r="F6" i="2"/>
  <c r="G36" i="2"/>
  <c r="F17" i="2"/>
  <c r="E9" i="3" s="1"/>
  <c r="E18" i="2"/>
  <c r="E22" i="2" s="1"/>
  <c r="G35" i="2"/>
  <c r="F16" i="2"/>
  <c r="G20" i="1"/>
  <c r="G22" i="1" s="1"/>
  <c r="G14" i="1"/>
  <c r="D25" i="1"/>
  <c r="D26" i="1" s="1"/>
  <c r="C20" i="1"/>
  <c r="C22" i="1" s="1"/>
  <c r="C24" i="1" s="1"/>
  <c r="C25" i="1" s="1"/>
  <c r="C26" i="1" s="1"/>
  <c r="C4" i="3" s="1"/>
  <c r="C18" i="3" s="1"/>
  <c r="D5" i="2" s="1"/>
  <c r="C14" i="1"/>
  <c r="D28" i="1" l="1"/>
  <c r="D4" i="3"/>
  <c r="D18" i="3" s="1"/>
  <c r="E5" i="2" s="1"/>
  <c r="D7" i="2"/>
  <c r="D13" i="2" s="1"/>
  <c r="E7" i="3"/>
  <c r="E10" i="3" s="1"/>
  <c r="H9" i="2"/>
  <c r="H11" i="2" s="1"/>
  <c r="H12" i="2" s="1"/>
  <c r="G11" i="2"/>
  <c r="G12" i="2" s="1"/>
  <c r="F20" i="1"/>
  <c r="F22" i="1" s="1"/>
  <c r="F14" i="1"/>
  <c r="E24" i="1"/>
  <c r="H20" i="2"/>
  <c r="G42" i="2"/>
  <c r="F23" i="1" s="1"/>
  <c r="G21" i="2"/>
  <c r="F18" i="2"/>
  <c r="F22" i="2" s="1"/>
  <c r="E8" i="3"/>
  <c r="C28" i="1"/>
  <c r="D25" i="2"/>
  <c r="H35" i="2"/>
  <c r="H16" i="2" s="1"/>
  <c r="G16" i="2"/>
  <c r="F8" i="3" s="1"/>
  <c r="H36" i="2"/>
  <c r="H17" i="2" s="1"/>
  <c r="G17" i="2"/>
  <c r="F9" i="3" s="1"/>
  <c r="H34" i="2"/>
  <c r="H6" i="2" s="1"/>
  <c r="G6" i="2"/>
  <c r="E7" i="2" l="1"/>
  <c r="E13" i="2" s="1"/>
  <c r="G7" i="3"/>
  <c r="G9" i="3"/>
  <c r="G8" i="3"/>
  <c r="H42" i="2"/>
  <c r="G23" i="1" s="1"/>
  <c r="G24" i="1" s="1"/>
  <c r="G25" i="1" s="1"/>
  <c r="G26" i="1" s="1"/>
  <c r="H21" i="2"/>
  <c r="E25" i="1"/>
  <c r="E26" i="1"/>
  <c r="F7" i="3"/>
  <c r="F10" i="3" s="1"/>
  <c r="F24" i="1"/>
  <c r="F25" i="1" s="1"/>
  <c r="F26" i="1" s="1"/>
  <c r="D26" i="2"/>
  <c r="D27" i="2" s="1"/>
  <c r="D29" i="2" s="1"/>
  <c r="E25" i="2"/>
  <c r="G18" i="2"/>
  <c r="G22" i="2" s="1"/>
  <c r="H18" i="2"/>
  <c r="G28" i="1" l="1"/>
  <c r="G4" i="3"/>
  <c r="G10" i="3"/>
  <c r="F28" i="1"/>
  <c r="F4" i="3"/>
  <c r="F18" i="3" s="1"/>
  <c r="E28" i="1"/>
  <c r="E4" i="3"/>
  <c r="E18" i="3" s="1"/>
  <c r="F5" i="2" s="1"/>
  <c r="H22" i="2"/>
  <c r="F25" i="2"/>
  <c r="E26" i="2"/>
  <c r="E27" i="2" s="1"/>
  <c r="E29" i="2" s="1"/>
  <c r="G5" i="2" l="1"/>
  <c r="F7" i="2"/>
  <c r="F13" i="2" s="1"/>
  <c r="G18" i="3"/>
  <c r="G25" i="2"/>
  <c r="F26" i="2"/>
  <c r="F27" i="2" s="1"/>
  <c r="F29" i="2" s="1"/>
  <c r="H5" i="2" l="1"/>
  <c r="H7" i="2" s="1"/>
  <c r="H13" i="2" s="1"/>
  <c r="G7" i="2"/>
  <c r="G13" i="2" s="1"/>
  <c r="H25" i="2"/>
  <c r="H26" i="2" s="1"/>
  <c r="H27" i="2" s="1"/>
  <c r="H29" i="2" s="1"/>
  <c r="G26" i="2"/>
  <c r="G27" i="2" s="1"/>
  <c r="G2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tc={4D927482-295C-D944-B77A-23FA95E395E3}</author>
    <author>tc={5C229F7C-188C-C04B-A420-EA50556C3E2D}</author>
    <author>tc={BEBF8BCA-43F3-BD4C-96B7-174C4F87F493}</author>
    <author>tc={A9B21E63-D3A8-A340-A2C3-6F2B533C123A}</author>
  </authors>
  <commentList>
    <comment ref="B20" authorId="0" shapeId="0" xr:uid="{4D927482-295C-D944-B77A-23FA95E395E3}">
      <text>
        <t>[Threaded comment]
Your version of Excel allows you to read this threaded comment; however, any edits to it will get removed if the file is opened in a newer version of Excel. Learn more: https://go.microsoft.com/fwlink/?linkid=870924
Comment:
    Earnings Before Interest, Taxes, Depreciation, and Amortization</t>
      </text>
    </comment>
    <comment ref="B21" authorId="1" shapeId="0" xr:uid="{5C229F7C-188C-C04B-A420-EA50556C3E2D}">
      <text>
        <t>[Threaded comment]
Your version of Excel allows you to read this threaded comment; however, any edits to it will get removed if the file is opened in a newer version of Excel. Learn more: https://go.microsoft.com/fwlink/?linkid=870924
Comment:
    Depreciation is for tangible assets, while amortization is for intangible assets</t>
      </text>
    </comment>
    <comment ref="B22" authorId="2" shapeId="0" xr:uid="{BEBF8BCA-43F3-BD4C-96B7-174C4F87F493}">
      <text>
        <t>[Threaded comment]
Your version of Excel allows you to read this threaded comment; however, any edits to it will get removed if the file is opened in a newer version of Excel. Learn more: https://go.microsoft.com/fwlink/?linkid=870924
Comment:
    Earnings Before Interest and Taxes</t>
      </text>
    </comment>
    <comment ref="B24" authorId="3" shapeId="0" xr:uid="{A9B21E63-D3A8-A340-A2C3-6F2B533C123A}">
      <text>
        <t>[Threaded comment]
Your version of Excel allows you to read this threaded comment; however, any edits to it will get removed if the file is opened in a newer version of Excel. Learn more: https://go.microsoft.com/fwlink/?linkid=870924
Comment:
    Earnings Before Taxes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tc={3D82CBD0-CEEF-0A4B-907C-1162A2F348BE}</author>
  </authors>
  <commentList>
    <comment ref="B10" authorId="0" shapeId="0" xr:uid="{3D82CBD0-CEEF-0A4B-907C-1162A2F348BE}">
      <text>
        <t>[Threaded comment]
Your version of Excel allows you to read this threaded comment; however, any edits to it will get removed if the file is opened in a newer version of Excel. Learn more: https://go.microsoft.com/fwlink/?linkid=870924
Comment:
    Depreciation: method to write down the cost of a tangible asset over its useful life</t>
      </text>
    </comment>
  </commentList>
</comments>
</file>

<file path=xl/sharedStrings.xml><?xml version="1.0" encoding="utf-8"?>
<sst xmlns="http://schemas.openxmlformats.org/spreadsheetml/2006/main" count="154" uniqueCount="110">
  <si>
    <t>Income Statement</t>
  </si>
  <si>
    <t>$ in actual figures</t>
  </si>
  <si>
    <t>Revenue</t>
  </si>
  <si>
    <t>Gross Revenue</t>
  </si>
  <si>
    <t>Discounts</t>
  </si>
  <si>
    <t>Net Revenue</t>
  </si>
  <si>
    <t>Cost of Goods Sold (COGS)</t>
  </si>
  <si>
    <t>Raw Materials</t>
  </si>
  <si>
    <t>Fulfillment</t>
  </si>
  <si>
    <t>Transaction Fees</t>
  </si>
  <si>
    <t>Total COGS</t>
  </si>
  <si>
    <t>Gross Profit</t>
  </si>
  <si>
    <t>Gross Profit Margin %</t>
  </si>
  <si>
    <t>Operating Expenses</t>
  </si>
  <si>
    <t>Labor</t>
  </si>
  <si>
    <t>Marketing</t>
  </si>
  <si>
    <t>SGA &amp; Other</t>
  </si>
  <si>
    <t>Total OpEx</t>
  </si>
  <si>
    <t>EBITDA</t>
  </si>
  <si>
    <t>Depreciation &amp; Amortization</t>
  </si>
  <si>
    <t>EBIT</t>
  </si>
  <si>
    <t>Interest Expense</t>
  </si>
  <si>
    <t>EBT</t>
  </si>
  <si>
    <t>Balance Sheet</t>
  </si>
  <si>
    <t>Historical</t>
  </si>
  <si>
    <t>Statement of Cashflows</t>
  </si>
  <si>
    <t>Net Income</t>
  </si>
  <si>
    <t>Operating Activities</t>
  </si>
  <si>
    <t>Depreciation</t>
  </si>
  <si>
    <t>Change in Accounts Receivable</t>
  </si>
  <si>
    <t>Change in Accounts Payable</t>
  </si>
  <si>
    <t>Change in Deferred Revenue</t>
  </si>
  <si>
    <t>Operating Cash Flow</t>
  </si>
  <si>
    <t>Investing Activities</t>
  </si>
  <si>
    <t>CapEx</t>
  </si>
  <si>
    <t>Investing Cash Flows</t>
  </si>
  <si>
    <t>Financial Activities</t>
  </si>
  <si>
    <t>Debt Repayment</t>
  </si>
  <si>
    <t>Net Borrowings</t>
  </si>
  <si>
    <t>Financing Cash Flow</t>
  </si>
  <si>
    <t>Net Cash Flow</t>
  </si>
  <si>
    <t>Asset Life (Years)</t>
  </si>
  <si>
    <t>Current Assets</t>
  </si>
  <si>
    <t>Cash</t>
  </si>
  <si>
    <t>Accounts Receivable</t>
  </si>
  <si>
    <t>Total Current Assets</t>
  </si>
  <si>
    <t>Fixed Assets</t>
  </si>
  <si>
    <t>Non Current Assets</t>
  </si>
  <si>
    <t>Accumulated Depreciation</t>
  </si>
  <si>
    <t>Net Fixed Assets</t>
  </si>
  <si>
    <t>Total Non Current Assets</t>
  </si>
  <si>
    <t>Total Assets</t>
  </si>
  <si>
    <t>Current Liabilities</t>
  </si>
  <si>
    <t>Accounts Payable</t>
  </si>
  <si>
    <t>Deferred Revenue</t>
  </si>
  <si>
    <t>Total Current Liabilities</t>
  </si>
  <si>
    <t>Non Current Liabilities</t>
  </si>
  <si>
    <t>Total Non Current Liabilities</t>
  </si>
  <si>
    <t>Total Liabilities</t>
  </si>
  <si>
    <t>Equity</t>
  </si>
  <si>
    <t>Common Stock</t>
  </si>
  <si>
    <t>Lemon Crusher</t>
  </si>
  <si>
    <t>Ice Machine</t>
  </si>
  <si>
    <t>Refrigerator</t>
  </si>
  <si>
    <t>Total CapEx</t>
  </si>
  <si>
    <t>Exisisting Equipment</t>
  </si>
  <si>
    <t>Total D&amp;A</t>
  </si>
  <si>
    <t xml:space="preserve"> Income Statement</t>
  </si>
  <si>
    <t>Taxes</t>
  </si>
  <si>
    <t>Net Income as % of Revenue</t>
  </si>
  <si>
    <t>Assumptions</t>
  </si>
  <si>
    <t>Assumptions:</t>
  </si>
  <si>
    <t>Cups Sold</t>
  </si>
  <si>
    <t>Average Price Per Cup</t>
  </si>
  <si>
    <t>Debt</t>
  </si>
  <si>
    <t>Retaining Earnings</t>
  </si>
  <si>
    <t>Total Equity</t>
  </si>
  <si>
    <t>Total Liabilities &amp; Equity</t>
  </si>
  <si>
    <t>Balance Check</t>
  </si>
  <si>
    <t>COGS</t>
  </si>
  <si>
    <t>Net Borrowing</t>
  </si>
  <si>
    <t>Interest Rate</t>
  </si>
  <si>
    <t>Interest Payment</t>
  </si>
  <si>
    <t>Goal Seek</t>
  </si>
  <si>
    <t>Units sold</t>
  </si>
  <si>
    <t>Price per unit</t>
  </si>
  <si>
    <t>Cost per unit</t>
  </si>
  <si>
    <t>G&amp;A</t>
  </si>
  <si>
    <t>Tax Rate</t>
  </si>
  <si>
    <t>Earnings Before Tax</t>
  </si>
  <si>
    <t>Contraints</t>
  </si>
  <si>
    <t>Net Income (Loss)</t>
  </si>
  <si>
    <t>Units Sold</t>
  </si>
  <si>
    <t>Price</t>
  </si>
  <si>
    <t>Sensitivity Analysis</t>
  </si>
  <si>
    <t>Price &amp; Quality Sensitivity</t>
  </si>
  <si>
    <t>Quality Sold</t>
  </si>
  <si>
    <t>Price per Unit</t>
  </si>
  <si>
    <t>Scenario Analysis</t>
  </si>
  <si>
    <t>$ In Actual figures</t>
  </si>
  <si>
    <t>Revenuess</t>
  </si>
  <si>
    <t>Cost</t>
  </si>
  <si>
    <t>Net Income Loss</t>
  </si>
  <si>
    <t>Revenue Scenarios</t>
  </si>
  <si>
    <t>1. Best Case</t>
  </si>
  <si>
    <t>2. Base Case</t>
  </si>
  <si>
    <t>3. Worst Case</t>
  </si>
  <si>
    <t>Cost Scenarios</t>
  </si>
  <si>
    <t>Choose Scenario --&gt;</t>
  </si>
  <si>
    <t>Corporate 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</si>
</sst>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m/d/yyyy;@"/>
    <numFmt numFmtId="165" formatCode="yyyy\E"/>
    <numFmt numFmtId="166" formatCode="_(* #,##0_);_(* \(#,##0\);_(* &quot;-&quot;??_);_(@_)"/>
    <numFmt numFmtId="167" formatCode="mmm\-yy\A"/>
    <numFmt numFmtId="168" formatCode="mmm\-yy\E"/>
    <numFmt numFmtId="169" formatCode="0.0%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i/>
      <sz val="16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i/>
      <sz val="14"/>
      <color theme="1"/>
      <name val="Aptos Narrow"/>
      <scheme val="minor"/>
    </font>
    <font>
      <b/>
      <i/>
      <sz val="14"/>
      <color theme="1"/>
      <name val="Aptos Narrow"/>
      <scheme val="minor"/>
    </font>
    <font>
      <sz val="14"/>
      <color theme="1"/>
      <name val="Aptos Narrow"/>
      <scheme val="minor"/>
    </font>
    <font>
      <sz val="14"/>
      <color rgb="FF0070C0"/>
      <name val="Aptos Narrow"/>
      <family val="2"/>
      <scheme val="minor"/>
    </font>
    <font>
      <b/>
      <i/>
      <sz val="16"/>
      <color theme="1"/>
      <name val="Aptos Narrow"/>
      <scheme val="minor"/>
    </font>
    <font>
      <sz val="14"/>
      <color rgb="FF0070C0"/>
      <name val="Aptos Narrow"/>
      <scheme val="minor"/>
    </font>
    <font>
      <sz val="16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2" fillId="3" borderId="0" xfId="0" applyFont="1" applyFill="1"/>
    <xf numFmtId="0" fontId="3" fillId="3" borderId="0" xfId="0" applyFont="1" applyFill="1"/>
    <xf numFmtId="0" fontId="5" fillId="0" borderId="0" xfId="0" applyFont="1"/>
    <xf numFmtId="0" fontId="4" fillId="3" borderId="2" xfId="0" applyFont="1" applyFill="1" applyBorder="1"/>
    <xf numFmtId="0" fontId="4" fillId="3" borderId="0" xfId="0" applyFont="1" applyFill="1"/>
    <xf numFmtId="43" fontId="5" fillId="0" borderId="0" xfId="1" applyFont="1"/>
    <xf numFmtId="0" fontId="5" fillId="0" borderId="0" xfId="0" applyFont="1" applyAlignment="1">
      <alignment horizontal="left" indent="1"/>
    </xf>
    <xf numFmtId="0" fontId="6" fillId="0" borderId="5" xfId="0" applyFont="1" applyBorder="1"/>
    <xf numFmtId="0" fontId="6" fillId="0" borderId="0" xfId="0" applyFont="1"/>
    <xf numFmtId="0" fontId="7" fillId="0" borderId="0" xfId="0" applyFont="1"/>
    <xf numFmtId="0" fontId="6" fillId="0" borderId="6" xfId="0" applyFont="1" applyBorder="1"/>
    <xf numFmtId="0" fontId="0" fillId="4" borderId="0" xfId="0" applyFill="1"/>
    <xf numFmtId="0" fontId="5" fillId="4" borderId="0" xfId="0" applyFont="1" applyFill="1"/>
    <xf numFmtId="0" fontId="6" fillId="4" borderId="0" xfId="0" applyFont="1" applyFill="1"/>
    <xf numFmtId="166" fontId="5" fillId="4" borderId="0" xfId="1" applyNumberFormat="1" applyFont="1" applyFill="1"/>
    <xf numFmtId="166" fontId="10" fillId="4" borderId="0" xfId="1" applyNumberFormat="1" applyFont="1" applyFill="1"/>
    <xf numFmtId="43" fontId="10" fillId="4" borderId="0" xfId="1" applyFont="1" applyFill="1"/>
    <xf numFmtId="9" fontId="10" fillId="4" borderId="0" xfId="0" applyNumberFormat="1" applyFont="1" applyFill="1"/>
    <xf numFmtId="0" fontId="10" fillId="4" borderId="0" xfId="0" applyFont="1" applyFill="1"/>
    <xf numFmtId="0" fontId="5" fillId="4" borderId="0" xfId="0" applyFont="1" applyFill="1" applyAlignment="1">
      <alignment horizontal="left" indent="1"/>
    </xf>
    <xf numFmtId="166" fontId="5" fillId="0" borderId="0" xfId="1" applyNumberFormat="1" applyFont="1"/>
    <xf numFmtId="166" fontId="6" fillId="0" borderId="5" xfId="1" applyNumberFormat="1" applyFont="1" applyBorder="1"/>
    <xf numFmtId="0" fontId="7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166" fontId="6" fillId="0" borderId="6" xfId="0" applyNumberFormat="1" applyFont="1" applyBorder="1"/>
    <xf numFmtId="9" fontId="7" fillId="0" borderId="0" xfId="2" applyFont="1" applyBorder="1"/>
    <xf numFmtId="9" fontId="7" fillId="0" borderId="0" xfId="2" applyFont="1"/>
    <xf numFmtId="166" fontId="9" fillId="0" borderId="0" xfId="1" applyNumberFormat="1" applyFont="1" applyBorder="1"/>
    <xf numFmtId="0" fontId="5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64" fontId="11" fillId="3" borderId="2" xfId="0" applyNumberFormat="1" applyFont="1" applyFill="1" applyBorder="1"/>
    <xf numFmtId="165" fontId="2" fillId="3" borderId="2" xfId="0" applyNumberFormat="1" applyFont="1" applyFill="1" applyBorder="1"/>
    <xf numFmtId="166" fontId="6" fillId="0" borderId="6" xfId="1" applyNumberFormat="1" applyFont="1" applyBorder="1"/>
    <xf numFmtId="0" fontId="9" fillId="0" borderId="0" xfId="0" applyFont="1"/>
    <xf numFmtId="167" fontId="2" fillId="3" borderId="2" xfId="0" applyNumberFormat="1" applyFont="1" applyFill="1" applyBorder="1"/>
    <xf numFmtId="168" fontId="2" fillId="3" borderId="2" xfId="0" applyNumberFormat="1" applyFont="1" applyFill="1" applyBorder="1"/>
    <xf numFmtId="166" fontId="0" fillId="0" borderId="0" xfId="1" applyNumberFormat="1" applyFont="1"/>
    <xf numFmtId="0" fontId="6" fillId="0" borderId="4" xfId="0" applyFont="1" applyBorder="1"/>
    <xf numFmtId="0" fontId="9" fillId="0" borderId="4" xfId="0" applyFont="1" applyBorder="1"/>
    <xf numFmtId="166" fontId="9" fillId="0" borderId="0" xfId="1" applyNumberFormat="1" applyFont="1"/>
    <xf numFmtId="166" fontId="9" fillId="0" borderId="4" xfId="1" applyNumberFormat="1" applyFont="1" applyBorder="1"/>
    <xf numFmtId="166" fontId="0" fillId="0" borderId="0" xfId="0" applyNumberFormat="1"/>
    <xf numFmtId="166" fontId="10" fillId="0" borderId="0" xfId="1" applyNumberFormat="1" applyFont="1"/>
    <xf numFmtId="166" fontId="12" fillId="0" borderId="0" xfId="1" applyNumberFormat="1" applyFont="1"/>
    <xf numFmtId="0" fontId="9" fillId="4" borderId="0" xfId="0" applyFont="1" applyFill="1"/>
    <xf numFmtId="166" fontId="9" fillId="4" borderId="0" xfId="1" applyNumberFormat="1" applyFont="1" applyFill="1"/>
    <xf numFmtId="166" fontId="12" fillId="4" borderId="0" xfId="1" applyNumberFormat="1" applyFont="1" applyFill="1"/>
    <xf numFmtId="9" fontId="12" fillId="4" borderId="0" xfId="2" applyFont="1" applyFill="1"/>
    <xf numFmtId="169" fontId="9" fillId="4" borderId="0" xfId="2" applyNumberFormat="1" applyFont="1" applyFill="1"/>
    <xf numFmtId="169" fontId="9" fillId="4" borderId="0" xfId="1" applyNumberFormat="1" applyFont="1" applyFill="1"/>
    <xf numFmtId="166" fontId="6" fillId="0" borderId="4" xfId="1" applyNumberFormat="1" applyFont="1" applyBorder="1"/>
    <xf numFmtId="43" fontId="10" fillId="0" borderId="0" xfId="1" applyFont="1"/>
    <xf numFmtId="9" fontId="10" fillId="0" borderId="0" xfId="2" applyFont="1"/>
    <xf numFmtId="166" fontId="9" fillId="0" borderId="1" xfId="0" applyNumberFormat="1" applyFont="1" applyBorder="1"/>
    <xf numFmtId="166" fontId="12" fillId="0" borderId="1" xfId="0" applyNumberFormat="1" applyFont="1" applyBorder="1"/>
    <xf numFmtId="166" fontId="9" fillId="0" borderId="7" xfId="0" applyNumberFormat="1" applyFont="1" applyBorder="1"/>
    <xf numFmtId="166" fontId="9" fillId="0" borderId="8" xfId="1" applyNumberFormat="1" applyFont="1" applyBorder="1"/>
    <xf numFmtId="166" fontId="9" fillId="0" borderId="9" xfId="1" applyNumberFormat="1" applyFont="1" applyBorder="1"/>
    <xf numFmtId="166" fontId="9" fillId="2" borderId="0" xfId="1" applyNumberFormat="1" applyFont="1" applyFill="1"/>
    <xf numFmtId="166" fontId="12" fillId="0" borderId="7" xfId="0" applyNumberFormat="1" applyFont="1" applyBorder="1"/>
    <xf numFmtId="166" fontId="9" fillId="7" borderId="0" xfId="1" applyNumberFormat="1" applyFont="1" applyFill="1"/>
    <xf numFmtId="0" fontId="14" fillId="8" borderId="0" xfId="0" applyFont="1" applyFill="1"/>
    <xf numFmtId="165" fontId="14" fillId="8" borderId="0" xfId="0" applyNumberFormat="1" applyFont="1" applyFill="1"/>
    <xf numFmtId="166" fontId="5" fillId="0" borderId="0" xfId="1" applyNumberFormat="1" applyFont="1" applyAlignment="1">
      <alignment horizontal="center" vertical="center"/>
    </xf>
    <xf numFmtId="0" fontId="6" fillId="6" borderId="6" xfId="0" applyFont="1" applyFill="1" applyBorder="1"/>
    <xf numFmtId="166" fontId="6" fillId="6" borderId="6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166" fontId="10" fillId="4" borderId="0" xfId="1" applyNumberFormat="1" applyFont="1" applyFill="1" applyAlignment="1">
      <alignment horizontal="center" vertical="center"/>
    </xf>
    <xf numFmtId="166" fontId="5" fillId="4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6" fontId="6" fillId="0" borderId="0" xfId="0" applyNumberFormat="1" applyFont="1"/>
    <xf numFmtId="166" fontId="6" fillId="6" borderId="6" xfId="1" applyNumberFormat="1" applyFont="1" applyFill="1" applyBorder="1"/>
    <xf numFmtId="0" fontId="13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textRotation="90"/>
    </xf>
    <xf numFmtId="0" fontId="13" fillId="8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Shonda Dickson" id="{1563CBBA-F0CA-0149-9741-4D1F20CDB8A1}" userId="2dcd35b876d866a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0" dT="2025-11-10T17:24:18.61" personId="{1563CBBA-F0CA-0149-9741-4D1F20CDB8A1}" id="{4D927482-295C-D944-B77A-23FA95E395E3}">
    <text>Earnings Before Interest, Taxes, Depreciation, and Amortization</text>
  </threadedComment>
  <threadedComment ref="B21" dT="2025-11-10T18:00:52.07" personId="{1563CBBA-F0CA-0149-9741-4D1F20CDB8A1}" id="{5C229F7C-188C-C04B-A420-EA50556C3E2D}">
    <text>Depreciation is for tangible assets, while amortization is for intangible assets</text>
  </threadedComment>
  <threadedComment ref="B22" dT="2025-11-10T17:25:10.84" personId="{1563CBBA-F0CA-0149-9741-4D1F20CDB8A1}" id="{BEBF8BCA-43F3-BD4C-96B7-174C4F87F493}">
    <text>Earnings Before Interest and Taxes</text>
  </threadedComment>
  <threadedComment ref="B24" dT="2025-11-10T17:25:35.82" personId="{1563CBBA-F0CA-0149-9741-4D1F20CDB8A1}" id="{A9B21E63-D3A8-A340-A2C3-6F2B533C123A}">
    <text>Earnings Before Taxes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0" dT="2025-11-10T17:47:51.32" personId="{1563CBBA-F0CA-0149-9741-4D1F20CDB8A1}" id="{3D82CBD0-CEEF-0A4B-907C-1162A2F348BE}">
    <text>Depreciation: method to write down the cost of a tangible asset over its useful life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BC7E-FB5E-D446-B207-0BC4004CC986}">
  <dimension ref="B2:G46"/>
  <sheetViews>
    <sheetView showGridLines="0" tabSelected="1" topLeftCell="A10" workbookViewId="0">
      <selection activeCell="K25" sqref="K25"/>
    </sheetView>
  </sheetViews>
  <sheetFormatPr baseColWidth="10" defaultRowHeight="16" x14ac:dyDescent="0.2"/>
  <cols>
    <col min="1" max="1" width="7.1640625" customWidth="1"/>
    <col min="2" max="2" width="34.83203125" customWidth="1"/>
    <col min="3" max="3" width="13.1640625" bestFit="1" customWidth="1"/>
  </cols>
  <sheetData>
    <row r="2" spans="2:7" ht="22" x14ac:dyDescent="0.3">
      <c r="B2" s="1" t="s">
        <v>67</v>
      </c>
      <c r="C2" s="2"/>
      <c r="D2" s="2"/>
      <c r="E2" s="2"/>
      <c r="F2" s="2"/>
      <c r="G2" s="2"/>
    </row>
    <row r="3" spans="2:7" ht="23" thickBot="1" x14ac:dyDescent="0.35">
      <c r="B3" s="4" t="s">
        <v>1</v>
      </c>
      <c r="C3" s="32">
        <v>45658</v>
      </c>
      <c r="D3" s="32">
        <f>EDATE(C3,12)</f>
        <v>46023</v>
      </c>
      <c r="E3" s="32">
        <f t="shared" ref="E3:G3" si="0">EDATE(D3,12)</f>
        <v>46388</v>
      </c>
      <c r="F3" s="32">
        <f t="shared" si="0"/>
        <v>46753</v>
      </c>
      <c r="G3" s="32">
        <f t="shared" si="0"/>
        <v>47119</v>
      </c>
    </row>
    <row r="4" spans="2:7" ht="19" x14ac:dyDescent="0.25">
      <c r="B4" s="3" t="s">
        <v>2</v>
      </c>
      <c r="C4" s="6"/>
      <c r="D4" s="6"/>
      <c r="E4" s="6"/>
      <c r="F4" s="6"/>
      <c r="G4" s="6"/>
    </row>
    <row r="5" spans="2:7" ht="19" x14ac:dyDescent="0.25">
      <c r="B5" s="7" t="s">
        <v>3</v>
      </c>
      <c r="C5" s="21">
        <f>C32*C33</f>
        <v>25000</v>
      </c>
      <c r="D5" s="21">
        <f t="shared" ref="D5:G5" si="1">D32*D33</f>
        <v>27500</v>
      </c>
      <c r="E5" s="21">
        <f t="shared" si="1"/>
        <v>32500</v>
      </c>
      <c r="F5" s="21">
        <f t="shared" si="1"/>
        <v>40000</v>
      </c>
      <c r="G5" s="21">
        <f t="shared" si="1"/>
        <v>50000</v>
      </c>
    </row>
    <row r="6" spans="2:7" ht="19" x14ac:dyDescent="0.25">
      <c r="B6" s="7" t="s">
        <v>4</v>
      </c>
      <c r="C6" s="21">
        <f>C5*-C34</f>
        <v>-1250</v>
      </c>
      <c r="D6" s="21">
        <f t="shared" ref="D6:G6" si="2">D5*-D34</f>
        <v>-1375</v>
      </c>
      <c r="E6" s="21">
        <f t="shared" si="2"/>
        <v>-1625</v>
      </c>
      <c r="F6" s="21">
        <f t="shared" si="2"/>
        <v>-2000</v>
      </c>
      <c r="G6" s="21">
        <f t="shared" si="2"/>
        <v>-2500</v>
      </c>
    </row>
    <row r="7" spans="2:7" ht="19" x14ac:dyDescent="0.25">
      <c r="B7" s="8" t="s">
        <v>5</v>
      </c>
      <c r="C7" s="22">
        <f>SUM(C5:C6)</f>
        <v>23750</v>
      </c>
      <c r="D7" s="22">
        <f t="shared" ref="D7:G7" si="3">SUM(D5:D6)</f>
        <v>26125</v>
      </c>
      <c r="E7" s="22">
        <f t="shared" si="3"/>
        <v>30875</v>
      </c>
      <c r="F7" s="22">
        <f t="shared" si="3"/>
        <v>38000</v>
      </c>
      <c r="G7" s="22">
        <f t="shared" si="3"/>
        <v>47500</v>
      </c>
    </row>
    <row r="8" spans="2:7" ht="19" x14ac:dyDescent="0.25">
      <c r="B8" s="3" t="s">
        <v>6</v>
      </c>
      <c r="C8" s="21"/>
      <c r="D8" s="21"/>
      <c r="E8" s="21"/>
      <c r="F8" s="21"/>
      <c r="G8" s="21"/>
    </row>
    <row r="9" spans="2:7" ht="19" x14ac:dyDescent="0.25">
      <c r="B9" s="7" t="s">
        <v>7</v>
      </c>
      <c r="C9" s="21">
        <f>-C$5*C37</f>
        <v>-7500</v>
      </c>
      <c r="D9" s="21">
        <f t="shared" ref="D9:G9" si="4">-D$5*D37</f>
        <v>-8250</v>
      </c>
      <c r="E9" s="21">
        <f t="shared" si="4"/>
        <v>-9750</v>
      </c>
      <c r="F9" s="21">
        <f t="shared" si="4"/>
        <v>-12000</v>
      </c>
      <c r="G9" s="21">
        <f t="shared" si="4"/>
        <v>-15000</v>
      </c>
    </row>
    <row r="10" spans="2:7" ht="19" x14ac:dyDescent="0.25">
      <c r="B10" s="7" t="s">
        <v>8</v>
      </c>
      <c r="C10" s="21">
        <f t="shared" ref="C10:G11" si="5">-C$5*C38</f>
        <v>-1750.0000000000002</v>
      </c>
      <c r="D10" s="21">
        <f t="shared" si="5"/>
        <v>-1925.0000000000002</v>
      </c>
      <c r="E10" s="21">
        <f t="shared" si="5"/>
        <v>-2275</v>
      </c>
      <c r="F10" s="21">
        <f t="shared" si="5"/>
        <v>-2800.0000000000005</v>
      </c>
      <c r="G10" s="21">
        <f t="shared" si="5"/>
        <v>-3500.0000000000005</v>
      </c>
    </row>
    <row r="11" spans="2:7" ht="19" x14ac:dyDescent="0.25">
      <c r="B11" s="7" t="s">
        <v>9</v>
      </c>
      <c r="C11" s="21">
        <f t="shared" si="5"/>
        <v>-500</v>
      </c>
      <c r="D11" s="21">
        <f t="shared" si="5"/>
        <v>-550</v>
      </c>
      <c r="E11" s="21">
        <f t="shared" si="5"/>
        <v>-650</v>
      </c>
      <c r="F11" s="21">
        <f t="shared" si="5"/>
        <v>-800</v>
      </c>
      <c r="G11" s="21">
        <f t="shared" si="5"/>
        <v>-1000</v>
      </c>
    </row>
    <row r="12" spans="2:7" ht="19" x14ac:dyDescent="0.25">
      <c r="B12" s="7" t="s">
        <v>10</v>
      </c>
      <c r="C12" s="28">
        <f>SUM(C9:C11)</f>
        <v>-9750</v>
      </c>
      <c r="D12" s="28">
        <f t="shared" ref="D12:G12" si="6">SUM(D9:D11)</f>
        <v>-10725</v>
      </c>
      <c r="E12" s="28">
        <f t="shared" si="6"/>
        <v>-12675</v>
      </c>
      <c r="F12" s="28">
        <f t="shared" si="6"/>
        <v>-15600</v>
      </c>
      <c r="G12" s="28">
        <f t="shared" si="6"/>
        <v>-19500</v>
      </c>
    </row>
    <row r="13" spans="2:7" ht="19" x14ac:dyDescent="0.25">
      <c r="B13" s="24" t="s">
        <v>11</v>
      </c>
      <c r="C13" s="22">
        <f>C7+C12</f>
        <v>14000</v>
      </c>
      <c r="D13" s="22">
        <f t="shared" ref="D13:G13" si="7">D7+D12</f>
        <v>15400</v>
      </c>
      <c r="E13" s="22">
        <f t="shared" si="7"/>
        <v>18200</v>
      </c>
      <c r="F13" s="22">
        <f t="shared" si="7"/>
        <v>22400</v>
      </c>
      <c r="G13" s="22">
        <f t="shared" si="7"/>
        <v>28000</v>
      </c>
    </row>
    <row r="14" spans="2:7" ht="19" x14ac:dyDescent="0.25">
      <c r="B14" s="23" t="s">
        <v>12</v>
      </c>
      <c r="C14" s="27">
        <f>C13/C7</f>
        <v>0.58947368421052626</v>
      </c>
      <c r="D14" s="27">
        <f t="shared" ref="D14:G14" si="8">D13/D7</f>
        <v>0.58947368421052626</v>
      </c>
      <c r="E14" s="27">
        <f t="shared" si="8"/>
        <v>0.58947368421052626</v>
      </c>
      <c r="F14" s="27">
        <f t="shared" si="8"/>
        <v>0.58947368421052626</v>
      </c>
      <c r="G14" s="27">
        <f t="shared" si="8"/>
        <v>0.58947368421052626</v>
      </c>
    </row>
    <row r="15" spans="2:7" ht="19" x14ac:dyDescent="0.25">
      <c r="B15" s="3" t="s">
        <v>13</v>
      </c>
      <c r="C15" s="21"/>
      <c r="D15" s="21"/>
      <c r="E15" s="21"/>
      <c r="F15" s="21"/>
      <c r="G15" s="21"/>
    </row>
    <row r="16" spans="2:7" ht="19" x14ac:dyDescent="0.25">
      <c r="B16" s="7" t="s">
        <v>14</v>
      </c>
      <c r="C16" s="21">
        <f>-C$5*C42</f>
        <v>-3750</v>
      </c>
      <c r="D16" s="21">
        <f t="shared" ref="D16:G16" si="9">-D$5*D42</f>
        <v>-4125</v>
      </c>
      <c r="E16" s="21">
        <f t="shared" si="9"/>
        <v>-4875</v>
      </c>
      <c r="F16" s="21">
        <f t="shared" si="9"/>
        <v>-6000</v>
      </c>
      <c r="G16" s="21">
        <f t="shared" si="9"/>
        <v>-7500</v>
      </c>
    </row>
    <row r="17" spans="2:7" ht="19" x14ac:dyDescent="0.25">
      <c r="B17" s="7" t="s">
        <v>15</v>
      </c>
      <c r="C17" s="21">
        <f t="shared" ref="C17:G18" si="10">-C$5*C43</f>
        <v>-1250</v>
      </c>
      <c r="D17" s="21">
        <f t="shared" si="10"/>
        <v>-1375</v>
      </c>
      <c r="E17" s="21">
        <f t="shared" si="10"/>
        <v>-1625</v>
      </c>
      <c r="F17" s="21">
        <f t="shared" si="10"/>
        <v>-2000</v>
      </c>
      <c r="G17" s="21">
        <f t="shared" si="10"/>
        <v>-2500</v>
      </c>
    </row>
    <row r="18" spans="2:7" ht="19" x14ac:dyDescent="0.25">
      <c r="B18" s="7" t="s">
        <v>16</v>
      </c>
      <c r="C18" s="21">
        <f t="shared" si="10"/>
        <v>-1250</v>
      </c>
      <c r="D18" s="21">
        <f t="shared" si="10"/>
        <v>-1375</v>
      </c>
      <c r="E18" s="21">
        <f t="shared" si="10"/>
        <v>-1625</v>
      </c>
      <c r="F18" s="21">
        <f t="shared" si="10"/>
        <v>-2000</v>
      </c>
      <c r="G18" s="21">
        <f t="shared" si="10"/>
        <v>-2500</v>
      </c>
    </row>
    <row r="19" spans="2:7" ht="19" x14ac:dyDescent="0.25">
      <c r="B19" s="3" t="s">
        <v>17</v>
      </c>
      <c r="C19" s="21">
        <f>SUM(C16:C18)</f>
        <v>-6250</v>
      </c>
      <c r="D19" s="21">
        <f t="shared" ref="D19:G19" si="11">SUM(D16:D18)</f>
        <v>-6875</v>
      </c>
      <c r="E19" s="21">
        <f t="shared" si="11"/>
        <v>-8125</v>
      </c>
      <c r="F19" s="21">
        <f t="shared" si="11"/>
        <v>-10000</v>
      </c>
      <c r="G19" s="21">
        <f t="shared" si="11"/>
        <v>-12500</v>
      </c>
    </row>
    <row r="20" spans="2:7" ht="19" x14ac:dyDescent="0.25">
      <c r="B20" s="8" t="s">
        <v>18</v>
      </c>
      <c r="C20" s="22">
        <f>C13+C19</f>
        <v>7750</v>
      </c>
      <c r="D20" s="22">
        <f t="shared" ref="D20:G20" si="12">D13+D19</f>
        <v>8525</v>
      </c>
      <c r="E20" s="22">
        <f t="shared" si="12"/>
        <v>10075</v>
      </c>
      <c r="F20" s="22">
        <f t="shared" si="12"/>
        <v>12400</v>
      </c>
      <c r="G20" s="22">
        <f t="shared" si="12"/>
        <v>15500</v>
      </c>
    </row>
    <row r="21" spans="2:7" ht="19" x14ac:dyDescent="0.25">
      <c r="B21" s="3" t="s">
        <v>19</v>
      </c>
      <c r="C21" s="21">
        <f>-'Fixed Assets'!D15</f>
        <v>-4952.3809523809523</v>
      </c>
      <c r="D21" s="21">
        <f>-'Fixed Assets'!E15</f>
        <v>-4952.3809523809523</v>
      </c>
      <c r="E21" s="21">
        <f>-'Fixed Assets'!F15</f>
        <v>-4952.3809523809523</v>
      </c>
      <c r="F21" s="21">
        <f>-'Fixed Assets'!G15</f>
        <v>-4952.3809523809523</v>
      </c>
      <c r="G21" s="21">
        <f>-'Fixed Assets'!H15</f>
        <v>-2952.3809523809523</v>
      </c>
    </row>
    <row r="22" spans="2:7" ht="19" x14ac:dyDescent="0.25">
      <c r="B22" s="8" t="s">
        <v>20</v>
      </c>
      <c r="C22" s="22">
        <f>SUM(C20:C21)</f>
        <v>2797.6190476190477</v>
      </c>
      <c r="D22" s="22">
        <f t="shared" ref="D22:G22" si="13">SUM(D20:D21)</f>
        <v>3572.6190476190477</v>
      </c>
      <c r="E22" s="22">
        <f t="shared" si="13"/>
        <v>5122.6190476190477</v>
      </c>
      <c r="F22" s="22">
        <f t="shared" si="13"/>
        <v>7447.6190476190477</v>
      </c>
      <c r="G22" s="22">
        <f t="shared" si="13"/>
        <v>12547.619047619048</v>
      </c>
    </row>
    <row r="23" spans="2:7" ht="19" x14ac:dyDescent="0.25">
      <c r="B23" s="3" t="s">
        <v>21</v>
      </c>
      <c r="C23" s="21">
        <f>-'Balance Sheet'!D42</f>
        <v>-665.00000000000011</v>
      </c>
      <c r="D23" s="21">
        <f>-'Balance Sheet'!E42</f>
        <v>-630.00000000000011</v>
      </c>
      <c r="E23" s="21">
        <f>-'Balance Sheet'!F42</f>
        <v>-927.50000000000011</v>
      </c>
      <c r="F23" s="21">
        <f>-'Balance Sheet'!G42</f>
        <v>-875.00000000000011</v>
      </c>
      <c r="G23" s="21">
        <f>-'Balance Sheet'!H42</f>
        <v>-822.50000000000011</v>
      </c>
    </row>
    <row r="24" spans="2:7" ht="19" x14ac:dyDescent="0.25">
      <c r="B24" s="8" t="s">
        <v>22</v>
      </c>
      <c r="C24" s="22">
        <f>SUM(C22:C23)</f>
        <v>2132.6190476190477</v>
      </c>
      <c r="D24" s="22">
        <f t="shared" ref="D24:G24" si="14">SUM(D22:D23)</f>
        <v>2942.6190476190477</v>
      </c>
      <c r="E24" s="22">
        <f t="shared" si="14"/>
        <v>4195.1190476190477</v>
      </c>
      <c r="F24" s="22">
        <f t="shared" si="14"/>
        <v>6572.6190476190477</v>
      </c>
      <c r="G24" s="22">
        <f t="shared" si="14"/>
        <v>11725.119047619048</v>
      </c>
    </row>
    <row r="25" spans="2:7" ht="19" x14ac:dyDescent="0.25">
      <c r="B25" s="3" t="s">
        <v>68</v>
      </c>
      <c r="C25" s="21">
        <f>-C24*C46</f>
        <v>-447.85</v>
      </c>
      <c r="D25" s="21">
        <f t="shared" ref="D25:G25" si="15">-D24*D46</f>
        <v>-617.95000000000005</v>
      </c>
      <c r="E25" s="21">
        <f t="shared" si="15"/>
        <v>-880.97500000000002</v>
      </c>
      <c r="F25" s="21">
        <f t="shared" si="15"/>
        <v>-1380.25</v>
      </c>
      <c r="G25" s="21">
        <f t="shared" si="15"/>
        <v>-2462.2750000000001</v>
      </c>
    </row>
    <row r="26" spans="2:7" ht="20" thickBot="1" x14ac:dyDescent="0.3">
      <c r="B26" s="11" t="s">
        <v>26</v>
      </c>
      <c r="C26" s="25">
        <f>SUM(C24:C25)</f>
        <v>1684.7690476190478</v>
      </c>
      <c r="D26" s="25">
        <f t="shared" ref="D26:G26" si="16">SUM(D24:D25)</f>
        <v>2324.6690476190479</v>
      </c>
      <c r="E26" s="25">
        <f t="shared" si="16"/>
        <v>3314.1440476190478</v>
      </c>
      <c r="F26" s="25">
        <f t="shared" si="16"/>
        <v>5192.3690476190477</v>
      </c>
      <c r="G26" s="25">
        <f t="shared" si="16"/>
        <v>9262.8440476190481</v>
      </c>
    </row>
    <row r="28" spans="2:7" ht="19" x14ac:dyDescent="0.25">
      <c r="B28" s="10" t="s">
        <v>69</v>
      </c>
      <c r="C28" s="26">
        <f>C26/C7</f>
        <v>7.0937644110275699E-2</v>
      </c>
      <c r="D28" s="26">
        <f t="shared" ref="D28:G28" si="17">D26/D7</f>
        <v>8.8982547277284135E-2</v>
      </c>
      <c r="E28" s="26">
        <f t="shared" si="17"/>
        <v>0.10734069789859264</v>
      </c>
      <c r="F28" s="26">
        <f t="shared" si="17"/>
        <v>0.13664129072681705</v>
      </c>
      <c r="G28" s="26">
        <f t="shared" si="17"/>
        <v>0.19500724310776943</v>
      </c>
    </row>
    <row r="29" spans="2:7" ht="25" customHeight="1" x14ac:dyDescent="0.2"/>
    <row r="30" spans="2:7" ht="19" x14ac:dyDescent="0.25">
      <c r="B30" s="14" t="s">
        <v>71</v>
      </c>
      <c r="C30" s="12"/>
      <c r="D30" s="12"/>
      <c r="E30" s="12"/>
      <c r="F30" s="12"/>
      <c r="G30" s="12"/>
    </row>
    <row r="31" spans="2:7" ht="19" x14ac:dyDescent="0.25">
      <c r="B31" s="13" t="s">
        <v>2</v>
      </c>
      <c r="C31" s="13"/>
      <c r="D31" s="13"/>
      <c r="E31" s="13"/>
      <c r="F31" s="13"/>
      <c r="G31" s="13"/>
    </row>
    <row r="32" spans="2:7" ht="19" x14ac:dyDescent="0.25">
      <c r="B32" s="20" t="s">
        <v>72</v>
      </c>
      <c r="C32" s="16">
        <v>5000</v>
      </c>
      <c r="D32" s="16">
        <v>5500</v>
      </c>
      <c r="E32" s="16">
        <v>6500</v>
      </c>
      <c r="F32" s="16">
        <v>8000</v>
      </c>
      <c r="G32" s="16">
        <v>10000</v>
      </c>
    </row>
    <row r="33" spans="2:7" ht="19" x14ac:dyDescent="0.25">
      <c r="B33" s="20" t="s">
        <v>73</v>
      </c>
      <c r="C33" s="17">
        <v>5</v>
      </c>
      <c r="D33" s="17">
        <v>5</v>
      </c>
      <c r="E33" s="17">
        <v>5</v>
      </c>
      <c r="F33" s="17">
        <v>5</v>
      </c>
      <c r="G33" s="17">
        <v>5</v>
      </c>
    </row>
    <row r="34" spans="2:7" ht="19" x14ac:dyDescent="0.25">
      <c r="B34" s="20" t="str">
        <f>B6&amp;" as a % of rev"</f>
        <v>Discounts as a % of rev</v>
      </c>
      <c r="C34" s="18">
        <v>0.05</v>
      </c>
      <c r="D34" s="18">
        <v>0.05</v>
      </c>
      <c r="E34" s="18">
        <v>0.05</v>
      </c>
      <c r="F34" s="18">
        <v>0.05</v>
      </c>
      <c r="G34" s="18">
        <v>0.05</v>
      </c>
    </row>
    <row r="35" spans="2:7" ht="19" x14ac:dyDescent="0.25">
      <c r="B35" s="13"/>
      <c r="C35" s="19"/>
      <c r="D35" s="19"/>
      <c r="E35" s="19"/>
      <c r="F35" s="19"/>
      <c r="G35" s="19"/>
    </row>
    <row r="36" spans="2:7" ht="19" x14ac:dyDescent="0.25">
      <c r="B36" s="13" t="s">
        <v>6</v>
      </c>
      <c r="C36" s="19"/>
      <c r="D36" s="19"/>
      <c r="E36" s="19"/>
      <c r="F36" s="19"/>
      <c r="G36" s="19"/>
    </row>
    <row r="37" spans="2:7" ht="19" x14ac:dyDescent="0.25">
      <c r="B37" s="20" t="str">
        <f>B9&amp;" as a % of rev"</f>
        <v>Raw Materials as a % of rev</v>
      </c>
      <c r="C37" s="18">
        <v>0.3</v>
      </c>
      <c r="D37" s="18">
        <v>0.3</v>
      </c>
      <c r="E37" s="18">
        <v>0.3</v>
      </c>
      <c r="F37" s="18">
        <v>0.3</v>
      </c>
      <c r="G37" s="18">
        <v>0.3</v>
      </c>
    </row>
    <row r="38" spans="2:7" ht="19" x14ac:dyDescent="0.25">
      <c r="B38" s="20" t="str">
        <f>B10&amp;" as a % of rev"</f>
        <v>Fulfillment as a % of rev</v>
      </c>
      <c r="C38" s="18">
        <v>7.0000000000000007E-2</v>
      </c>
      <c r="D38" s="18">
        <v>7.0000000000000007E-2</v>
      </c>
      <c r="E38" s="18">
        <v>7.0000000000000007E-2</v>
      </c>
      <c r="F38" s="18">
        <v>7.0000000000000007E-2</v>
      </c>
      <c r="G38" s="18">
        <v>7.0000000000000007E-2</v>
      </c>
    </row>
    <row r="39" spans="2:7" ht="19" x14ac:dyDescent="0.25">
      <c r="B39" s="20" t="str">
        <f>B11&amp;" as a % of rev"</f>
        <v>Transaction Fees as a % of rev</v>
      </c>
      <c r="C39" s="18">
        <v>0.02</v>
      </c>
      <c r="D39" s="18">
        <v>0.02</v>
      </c>
      <c r="E39" s="18">
        <v>0.02</v>
      </c>
      <c r="F39" s="18">
        <v>0.02</v>
      </c>
      <c r="G39" s="18">
        <v>0.02</v>
      </c>
    </row>
    <row r="40" spans="2:7" ht="19" x14ac:dyDescent="0.25">
      <c r="B40" s="13"/>
      <c r="C40" s="19"/>
      <c r="D40" s="19"/>
      <c r="E40" s="19"/>
      <c r="F40" s="19"/>
      <c r="G40" s="19"/>
    </row>
    <row r="41" spans="2:7" ht="19" x14ac:dyDescent="0.25">
      <c r="B41" s="13" t="s">
        <v>13</v>
      </c>
      <c r="C41" s="19"/>
      <c r="D41" s="19"/>
      <c r="E41" s="19"/>
      <c r="F41" s="19"/>
      <c r="G41" s="19"/>
    </row>
    <row r="42" spans="2:7" ht="19" x14ac:dyDescent="0.25">
      <c r="B42" s="20" t="str">
        <f>B16&amp;" as a % of rev"</f>
        <v>Labor as a % of rev</v>
      </c>
      <c r="C42" s="18">
        <v>0.15</v>
      </c>
      <c r="D42" s="18">
        <v>0.15</v>
      </c>
      <c r="E42" s="18">
        <v>0.15</v>
      </c>
      <c r="F42" s="18">
        <v>0.15</v>
      </c>
      <c r="G42" s="18">
        <v>0.15</v>
      </c>
    </row>
    <row r="43" spans="2:7" ht="19" x14ac:dyDescent="0.25">
      <c r="B43" s="20" t="str">
        <f>B17&amp;" as a % of rev"</f>
        <v>Marketing as a % of rev</v>
      </c>
      <c r="C43" s="18">
        <v>0.05</v>
      </c>
      <c r="D43" s="18">
        <v>0.05</v>
      </c>
      <c r="E43" s="18">
        <v>0.05</v>
      </c>
      <c r="F43" s="18">
        <v>0.05</v>
      </c>
      <c r="G43" s="18">
        <v>0.05</v>
      </c>
    </row>
    <row r="44" spans="2:7" ht="19" x14ac:dyDescent="0.25">
      <c r="B44" s="20" t="str">
        <f>B18&amp;" as a % of rev"</f>
        <v>SGA &amp; Other as a % of rev</v>
      </c>
      <c r="C44" s="18">
        <v>0.05</v>
      </c>
      <c r="D44" s="18">
        <v>0.05</v>
      </c>
      <c r="E44" s="18">
        <v>0.05</v>
      </c>
      <c r="F44" s="18">
        <v>0.05</v>
      </c>
      <c r="G44" s="18">
        <v>0.05</v>
      </c>
    </row>
    <row r="45" spans="2:7" ht="19" x14ac:dyDescent="0.25">
      <c r="B45" s="13"/>
      <c r="C45" s="19"/>
      <c r="D45" s="19"/>
      <c r="E45" s="19"/>
      <c r="F45" s="19"/>
      <c r="G45" s="19"/>
    </row>
    <row r="46" spans="2:7" ht="19" x14ac:dyDescent="0.25">
      <c r="B46" s="13" t="s">
        <v>109</v>
      </c>
      <c r="C46" s="18">
        <v>0.21</v>
      </c>
      <c r="D46" s="18">
        <v>0.21</v>
      </c>
      <c r="E46" s="18">
        <v>0.21</v>
      </c>
      <c r="F46" s="18">
        <v>0.21</v>
      </c>
      <c r="G46" s="18">
        <v>0.21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F6519-3A8A-074C-A76A-D1B58887BFE9}">
  <dimension ref="B2:H42"/>
  <sheetViews>
    <sheetView showGridLines="0" workbookViewId="0">
      <selection activeCell="J14" sqref="J14"/>
    </sheetView>
  </sheetViews>
  <sheetFormatPr baseColWidth="10" defaultRowHeight="16" x14ac:dyDescent="0.2"/>
  <cols>
    <col min="1" max="1" width="7.33203125" customWidth="1"/>
    <col min="2" max="2" width="32.83203125" customWidth="1"/>
    <col min="3" max="3" width="14.33203125" customWidth="1"/>
    <col min="4" max="8" width="13.83203125" bestFit="1" customWidth="1"/>
  </cols>
  <sheetData>
    <row r="2" spans="2:8" ht="22" x14ac:dyDescent="0.3">
      <c r="B2" s="1" t="s">
        <v>23</v>
      </c>
      <c r="C2" s="5" t="s">
        <v>24</v>
      </c>
      <c r="D2" s="2"/>
      <c r="E2" s="2"/>
      <c r="F2" s="2"/>
      <c r="G2" s="2"/>
      <c r="H2" s="2"/>
    </row>
    <row r="3" spans="2:8" ht="23" thickBot="1" x14ac:dyDescent="0.35">
      <c r="B3" s="4" t="s">
        <v>1</v>
      </c>
      <c r="C3" s="35">
        <v>45657</v>
      </c>
      <c r="D3" s="36">
        <f>EDATE(C3,12)</f>
        <v>46022</v>
      </c>
      <c r="E3" s="36">
        <f t="shared" ref="E3:H3" si="0">EDATE(D3,12)</f>
        <v>46387</v>
      </c>
      <c r="F3" s="36">
        <f t="shared" si="0"/>
        <v>46752</v>
      </c>
      <c r="G3" s="36">
        <f t="shared" si="0"/>
        <v>47118</v>
      </c>
      <c r="H3" s="36">
        <f t="shared" si="0"/>
        <v>47483</v>
      </c>
    </row>
    <row r="4" spans="2:8" ht="19" x14ac:dyDescent="0.25">
      <c r="B4" s="3" t="s">
        <v>42</v>
      </c>
      <c r="C4" s="21"/>
      <c r="D4" s="21"/>
      <c r="E4" s="21"/>
      <c r="F4" s="21"/>
      <c r="G4" s="21"/>
      <c r="H4" s="37"/>
    </row>
    <row r="5" spans="2:8" ht="19" x14ac:dyDescent="0.25">
      <c r="B5" s="7" t="s">
        <v>43</v>
      </c>
      <c r="C5" s="43">
        <v>5000</v>
      </c>
      <c r="D5" s="21">
        <f>C5+'Statement of Cashflow'!C18</f>
        <v>-2871.6776836158188</v>
      </c>
      <c r="E5" s="21">
        <f>D5+'Statement of Cashflow'!D18</f>
        <v>3919.4895480225996</v>
      </c>
      <c r="F5" s="21">
        <f>E5+'Statement of Cashflow'!E18</f>
        <v>16464.249011299435</v>
      </c>
      <c r="G5" s="21">
        <f>F5+'Statement of Cashflow'!F18</f>
        <v>20901.350706214689</v>
      </c>
      <c r="H5" s="21">
        <f>G5+'Statement of Cashflow'!G18</f>
        <v>32423.04463276836</v>
      </c>
    </row>
    <row r="6" spans="2:8" ht="19" x14ac:dyDescent="0.25">
      <c r="B6" s="7" t="s">
        <v>44</v>
      </c>
      <c r="C6" s="43">
        <v>150</v>
      </c>
      <c r="D6" s="21">
        <f>D34*D32</f>
        <v>237.5</v>
      </c>
      <c r="E6" s="21">
        <f t="shared" ref="E6:H6" si="1">E34*E32</f>
        <v>261.25</v>
      </c>
      <c r="F6" s="21">
        <f t="shared" si="1"/>
        <v>308.75</v>
      </c>
      <c r="G6" s="21">
        <f t="shared" si="1"/>
        <v>380</v>
      </c>
      <c r="H6" s="21">
        <f t="shared" si="1"/>
        <v>475</v>
      </c>
    </row>
    <row r="7" spans="2:8" ht="19" x14ac:dyDescent="0.25">
      <c r="B7" s="8" t="s">
        <v>45</v>
      </c>
      <c r="C7" s="22">
        <f>SUM(C5:C6)</f>
        <v>5150</v>
      </c>
      <c r="D7" s="22">
        <f t="shared" ref="D7:H7" si="2">SUM(D5:D6)</f>
        <v>-2634.1776836158188</v>
      </c>
      <c r="E7" s="22">
        <f t="shared" si="2"/>
        <v>4180.7395480225996</v>
      </c>
      <c r="F7" s="22">
        <f t="shared" si="2"/>
        <v>16772.999011299435</v>
      </c>
      <c r="G7" s="22">
        <f t="shared" si="2"/>
        <v>21281.350706214689</v>
      </c>
      <c r="H7" s="22">
        <f t="shared" si="2"/>
        <v>32898.04463276836</v>
      </c>
    </row>
    <row r="8" spans="2:8" ht="19" x14ac:dyDescent="0.25">
      <c r="B8" s="3" t="s">
        <v>47</v>
      </c>
      <c r="C8" s="21"/>
      <c r="D8" s="21"/>
      <c r="E8" s="21"/>
      <c r="F8" s="21"/>
      <c r="G8" s="21"/>
      <c r="H8" s="37"/>
    </row>
    <row r="9" spans="2:8" ht="19" x14ac:dyDescent="0.25">
      <c r="B9" s="7" t="s">
        <v>46</v>
      </c>
      <c r="C9" s="43">
        <v>10000</v>
      </c>
      <c r="D9" s="21">
        <f>C9+'Fixed Assets'!D8</f>
        <v>24000</v>
      </c>
      <c r="E9" s="21">
        <f>D9+'Fixed Assets'!E8</f>
        <v>24000</v>
      </c>
      <c r="F9" s="21">
        <f>E9+'Fixed Assets'!F8</f>
        <v>24000</v>
      </c>
      <c r="G9" s="21">
        <f>F9+'Fixed Assets'!G8</f>
        <v>29000</v>
      </c>
      <c r="H9" s="21">
        <f>G9+'Fixed Assets'!H8</f>
        <v>29000</v>
      </c>
    </row>
    <row r="10" spans="2:8" ht="19" x14ac:dyDescent="0.25">
      <c r="B10" s="7" t="s">
        <v>48</v>
      </c>
      <c r="C10" s="43">
        <v>-2000</v>
      </c>
      <c r="D10" s="21">
        <f>C10-'Fixed Assets'!D15</f>
        <v>-6952.3809523809523</v>
      </c>
      <c r="E10" s="21">
        <f>D10-'Fixed Assets'!E15</f>
        <v>-11904.761904761905</v>
      </c>
      <c r="F10" s="21">
        <f>E10-'Fixed Assets'!F15</f>
        <v>-16857.142857142855</v>
      </c>
      <c r="G10" s="21">
        <f>F10-'Fixed Assets'!G15</f>
        <v>-21809.523809523809</v>
      </c>
      <c r="H10" s="21">
        <f>G10-'Fixed Assets'!H15</f>
        <v>-24761.904761904763</v>
      </c>
    </row>
    <row r="11" spans="2:8" ht="19" x14ac:dyDescent="0.25">
      <c r="B11" s="3" t="s">
        <v>49</v>
      </c>
      <c r="C11" s="21">
        <f>SUM(C9:C10)</f>
        <v>8000</v>
      </c>
      <c r="D11" s="21">
        <f t="shared" ref="D11:H11" si="3">SUM(D9:D10)</f>
        <v>17047.619047619046</v>
      </c>
      <c r="E11" s="21">
        <f t="shared" si="3"/>
        <v>12095.238095238095</v>
      </c>
      <c r="F11" s="21">
        <f t="shared" si="3"/>
        <v>7142.8571428571449</v>
      </c>
      <c r="G11" s="21">
        <f t="shared" si="3"/>
        <v>7190.4761904761908</v>
      </c>
      <c r="H11" s="21">
        <f t="shared" si="3"/>
        <v>4238.0952380952367</v>
      </c>
    </row>
    <row r="12" spans="2:8" ht="19" x14ac:dyDescent="0.25">
      <c r="B12" s="38" t="s">
        <v>50</v>
      </c>
      <c r="C12" s="51">
        <f>C11</f>
        <v>8000</v>
      </c>
      <c r="D12" s="51">
        <f t="shared" ref="D12:H12" si="4">D11</f>
        <v>17047.619047619046</v>
      </c>
      <c r="E12" s="51">
        <f t="shared" si="4"/>
        <v>12095.238095238095</v>
      </c>
      <c r="F12" s="51">
        <f t="shared" si="4"/>
        <v>7142.8571428571449</v>
      </c>
      <c r="G12" s="51">
        <f t="shared" si="4"/>
        <v>7190.4761904761908</v>
      </c>
      <c r="H12" s="51">
        <f t="shared" si="4"/>
        <v>4238.0952380952367</v>
      </c>
    </row>
    <row r="13" spans="2:8" ht="20" thickBot="1" x14ac:dyDescent="0.3">
      <c r="B13" s="11" t="s">
        <v>51</v>
      </c>
      <c r="C13" s="33">
        <f>C7+C12</f>
        <v>13150</v>
      </c>
      <c r="D13" s="33">
        <f t="shared" ref="D13:H13" si="5">D7+D12</f>
        <v>14413.441364003227</v>
      </c>
      <c r="E13" s="33">
        <f t="shared" si="5"/>
        <v>16275.977643260696</v>
      </c>
      <c r="F13" s="33">
        <f t="shared" si="5"/>
        <v>23915.85615415658</v>
      </c>
      <c r="G13" s="33">
        <f t="shared" si="5"/>
        <v>28471.82689669088</v>
      </c>
      <c r="H13" s="33">
        <f t="shared" si="5"/>
        <v>37136.139870863597</v>
      </c>
    </row>
    <row r="14" spans="2:8" ht="19" x14ac:dyDescent="0.25">
      <c r="B14" s="3"/>
      <c r="C14" s="21"/>
      <c r="D14" s="21"/>
      <c r="E14" s="21"/>
      <c r="F14" s="21"/>
      <c r="G14" s="21"/>
      <c r="H14" s="37"/>
    </row>
    <row r="15" spans="2:8" ht="19" x14ac:dyDescent="0.25">
      <c r="B15" s="3" t="s">
        <v>52</v>
      </c>
      <c r="C15" s="21"/>
      <c r="D15" s="21"/>
      <c r="E15" s="21"/>
      <c r="F15" s="21"/>
      <c r="G15" s="21"/>
      <c r="H15" s="37"/>
    </row>
    <row r="16" spans="2:8" ht="19" x14ac:dyDescent="0.25">
      <c r="B16" s="7" t="s">
        <v>53</v>
      </c>
      <c r="C16" s="43">
        <v>200</v>
      </c>
      <c r="D16" s="21">
        <f>D35*D33</f>
        <v>220.33898305084745</v>
      </c>
      <c r="E16" s="21">
        <f t="shared" ref="E16:H16" si="6">E35*E33</f>
        <v>242.37288135593221</v>
      </c>
      <c r="F16" s="21">
        <f t="shared" si="6"/>
        <v>286.4406779661017</v>
      </c>
      <c r="G16" s="21">
        <f t="shared" si="6"/>
        <v>352.54237288135596</v>
      </c>
      <c r="H16" s="21">
        <f t="shared" si="6"/>
        <v>440.67796610169489</v>
      </c>
    </row>
    <row r="17" spans="2:8" ht="19" x14ac:dyDescent="0.25">
      <c r="B17" s="7" t="s">
        <v>54</v>
      </c>
      <c r="C17" s="43">
        <v>100</v>
      </c>
      <c r="D17" s="21">
        <f>D36*D32</f>
        <v>158.33333333333334</v>
      </c>
      <c r="E17" s="21">
        <f t="shared" ref="E17:H17" si="7">E36*E32</f>
        <v>174.16666666666669</v>
      </c>
      <c r="F17" s="21">
        <f t="shared" si="7"/>
        <v>205.83333333333334</v>
      </c>
      <c r="G17" s="21">
        <f t="shared" si="7"/>
        <v>253.33333333333334</v>
      </c>
      <c r="H17" s="21">
        <f t="shared" si="7"/>
        <v>316.66666666666669</v>
      </c>
    </row>
    <row r="18" spans="2:8" ht="19" x14ac:dyDescent="0.25">
      <c r="B18" s="8" t="s">
        <v>55</v>
      </c>
      <c r="C18" s="22">
        <f>SUM(C16:C17)</f>
        <v>300</v>
      </c>
      <c r="D18" s="22">
        <f t="shared" ref="D18:H18" si="8">SUM(D16:D17)</f>
        <v>378.67231638418082</v>
      </c>
      <c r="E18" s="22">
        <f t="shared" si="8"/>
        <v>416.53954802259886</v>
      </c>
      <c r="F18" s="22">
        <f t="shared" si="8"/>
        <v>492.27401129943507</v>
      </c>
      <c r="G18" s="22">
        <f t="shared" si="8"/>
        <v>605.87570621468933</v>
      </c>
      <c r="H18" s="22">
        <f t="shared" si="8"/>
        <v>757.34463276836163</v>
      </c>
    </row>
    <row r="19" spans="2:8" ht="19" x14ac:dyDescent="0.25">
      <c r="B19" s="3" t="s">
        <v>56</v>
      </c>
      <c r="C19" s="21"/>
      <c r="D19" s="21"/>
      <c r="E19" s="21"/>
      <c r="F19" s="21"/>
      <c r="G19" s="21"/>
      <c r="H19" s="37"/>
    </row>
    <row r="20" spans="2:8" ht="19" x14ac:dyDescent="0.25">
      <c r="B20" s="7" t="s">
        <v>74</v>
      </c>
      <c r="C20" s="43">
        <v>10000</v>
      </c>
      <c r="D20" s="21">
        <f>C20+D39-D40</f>
        <v>9500</v>
      </c>
      <c r="E20" s="21">
        <f t="shared" ref="E20:H20" si="9">D20+E39-E40</f>
        <v>9000</v>
      </c>
      <c r="F20" s="21">
        <f t="shared" si="9"/>
        <v>13250</v>
      </c>
      <c r="G20" s="21">
        <f t="shared" si="9"/>
        <v>12500</v>
      </c>
      <c r="H20" s="21">
        <f t="shared" si="9"/>
        <v>11750</v>
      </c>
    </row>
    <row r="21" spans="2:8" ht="19" x14ac:dyDescent="0.25">
      <c r="B21" s="8" t="s">
        <v>57</v>
      </c>
      <c r="C21" s="22">
        <f>C20</f>
        <v>10000</v>
      </c>
      <c r="D21" s="22">
        <f t="shared" ref="D21:H21" si="10">D20</f>
        <v>9500</v>
      </c>
      <c r="E21" s="22">
        <f t="shared" si="10"/>
        <v>9000</v>
      </c>
      <c r="F21" s="22">
        <f t="shared" si="10"/>
        <v>13250</v>
      </c>
      <c r="G21" s="22">
        <f t="shared" si="10"/>
        <v>12500</v>
      </c>
      <c r="H21" s="22">
        <f t="shared" si="10"/>
        <v>11750</v>
      </c>
    </row>
    <row r="22" spans="2:8" ht="20" thickBot="1" x14ac:dyDescent="0.3">
      <c r="B22" s="11" t="s">
        <v>58</v>
      </c>
      <c r="C22" s="33">
        <f>C18+C21</f>
        <v>10300</v>
      </c>
      <c r="D22" s="33">
        <f t="shared" ref="D22:H22" si="11">D18+D21</f>
        <v>9878.6723163841816</v>
      </c>
      <c r="E22" s="33">
        <f t="shared" si="11"/>
        <v>9416.5395480225998</v>
      </c>
      <c r="F22" s="33">
        <f t="shared" si="11"/>
        <v>13742.274011299434</v>
      </c>
      <c r="G22" s="33">
        <f t="shared" si="11"/>
        <v>13105.875706214689</v>
      </c>
      <c r="H22" s="33">
        <f t="shared" si="11"/>
        <v>12507.344632768361</v>
      </c>
    </row>
    <row r="23" spans="2:8" ht="19" x14ac:dyDescent="0.25">
      <c r="B23" s="3" t="s">
        <v>59</v>
      </c>
      <c r="C23" s="21"/>
      <c r="D23" s="21"/>
      <c r="E23" s="21"/>
      <c r="F23" s="21"/>
      <c r="G23" s="21"/>
      <c r="H23" s="37"/>
    </row>
    <row r="24" spans="2:8" ht="19" x14ac:dyDescent="0.25">
      <c r="B24" s="7" t="s">
        <v>60</v>
      </c>
      <c r="C24" s="44">
        <v>300</v>
      </c>
      <c r="D24" s="40">
        <f>C24</f>
        <v>300</v>
      </c>
      <c r="E24" s="40">
        <f t="shared" ref="E24:H24" si="12">D24</f>
        <v>300</v>
      </c>
      <c r="F24" s="40">
        <f t="shared" si="12"/>
        <v>300</v>
      </c>
      <c r="G24" s="40">
        <f t="shared" si="12"/>
        <v>300</v>
      </c>
      <c r="H24" s="40">
        <f t="shared" si="12"/>
        <v>300</v>
      </c>
    </row>
    <row r="25" spans="2:8" ht="19" x14ac:dyDescent="0.25">
      <c r="B25" s="7" t="s">
        <v>75</v>
      </c>
      <c r="C25" s="44">
        <v>2550</v>
      </c>
      <c r="D25" s="40">
        <f>C25+'Income Statement'!C26</f>
        <v>4234.7690476190473</v>
      </c>
      <c r="E25" s="40">
        <f>D25+'Income Statement'!D26</f>
        <v>6559.4380952380952</v>
      </c>
      <c r="F25" s="40">
        <f>E25+'Income Statement'!E26</f>
        <v>9873.5821428571435</v>
      </c>
      <c r="G25" s="40">
        <f>F25+'Income Statement'!F26</f>
        <v>15065.951190476191</v>
      </c>
      <c r="H25" s="40">
        <f>G25+'Income Statement'!G26</f>
        <v>24328.795238095241</v>
      </c>
    </row>
    <row r="26" spans="2:8" ht="19" x14ac:dyDescent="0.25">
      <c r="B26" s="39" t="s">
        <v>76</v>
      </c>
      <c r="C26" s="41">
        <f>SUM(C24:C25)</f>
        <v>2850</v>
      </c>
      <c r="D26" s="41">
        <f t="shared" ref="D26:H26" si="13">SUM(D24:D25)</f>
        <v>4534.7690476190473</v>
      </c>
      <c r="E26" s="41">
        <f t="shared" si="13"/>
        <v>6859.4380952380952</v>
      </c>
      <c r="F26" s="41">
        <f t="shared" si="13"/>
        <v>10173.582142857143</v>
      </c>
      <c r="G26" s="41">
        <f t="shared" si="13"/>
        <v>15365.951190476191</v>
      </c>
      <c r="H26" s="41">
        <f t="shared" si="13"/>
        <v>24628.795238095241</v>
      </c>
    </row>
    <row r="27" spans="2:8" ht="20" thickBot="1" x14ac:dyDescent="0.3">
      <c r="B27" s="11" t="s">
        <v>77</v>
      </c>
      <c r="C27" s="33">
        <f>C26+C22</f>
        <v>13150</v>
      </c>
      <c r="D27" s="33">
        <f t="shared" ref="D27:H27" si="14">D26+D22</f>
        <v>14413.441364003229</v>
      </c>
      <c r="E27" s="33">
        <f t="shared" si="14"/>
        <v>16275.977643260696</v>
      </c>
      <c r="F27" s="33">
        <f t="shared" si="14"/>
        <v>23915.85615415658</v>
      </c>
      <c r="G27" s="33">
        <f t="shared" si="14"/>
        <v>28471.82689669088</v>
      </c>
      <c r="H27" s="33">
        <f t="shared" si="14"/>
        <v>37136.139870863604</v>
      </c>
    </row>
    <row r="29" spans="2:8" ht="19" x14ac:dyDescent="0.25">
      <c r="B29" s="3" t="s">
        <v>78</v>
      </c>
      <c r="C29" s="42">
        <f>C13-C27</f>
        <v>0</v>
      </c>
      <c r="D29" s="42">
        <f t="shared" ref="D29:H29" si="15">D13-D27</f>
        <v>0</v>
      </c>
      <c r="E29" s="42">
        <f t="shared" si="15"/>
        <v>0</v>
      </c>
      <c r="F29" s="42">
        <f t="shared" si="15"/>
        <v>0</v>
      </c>
      <c r="G29" s="42">
        <f t="shared" si="15"/>
        <v>0</v>
      </c>
      <c r="H29" s="42">
        <f t="shared" si="15"/>
        <v>0</v>
      </c>
    </row>
    <row r="31" spans="2:8" ht="19" x14ac:dyDescent="0.25">
      <c r="B31" s="14" t="s">
        <v>71</v>
      </c>
      <c r="C31" s="45"/>
      <c r="D31" s="45"/>
      <c r="E31" s="45"/>
      <c r="F31" s="45"/>
      <c r="G31" s="45"/>
      <c r="H31" s="45"/>
    </row>
    <row r="32" spans="2:8" ht="19" x14ac:dyDescent="0.25">
      <c r="B32" s="45" t="s">
        <v>5</v>
      </c>
      <c r="C32" s="47">
        <v>15000</v>
      </c>
      <c r="D32" s="46">
        <f>'Income Statement'!C7</f>
        <v>23750</v>
      </c>
      <c r="E32" s="46">
        <f>'Income Statement'!D7</f>
        <v>26125</v>
      </c>
      <c r="F32" s="46">
        <f>'Income Statement'!E7</f>
        <v>30875</v>
      </c>
      <c r="G32" s="46">
        <f>'Income Statement'!F7</f>
        <v>38000</v>
      </c>
      <c r="H32" s="46">
        <f>'Income Statement'!G7</f>
        <v>47500</v>
      </c>
    </row>
    <row r="33" spans="2:8" ht="19" x14ac:dyDescent="0.25">
      <c r="B33" s="45" t="s">
        <v>79</v>
      </c>
      <c r="C33" s="47">
        <v>8850</v>
      </c>
      <c r="D33" s="46">
        <f>-'Income Statement'!C12</f>
        <v>9750</v>
      </c>
      <c r="E33" s="46">
        <f>-'Income Statement'!D12</f>
        <v>10725</v>
      </c>
      <c r="F33" s="46">
        <f>-'Income Statement'!E12</f>
        <v>12675</v>
      </c>
      <c r="G33" s="46">
        <f>-'Income Statement'!F12</f>
        <v>15600</v>
      </c>
      <c r="H33" s="46">
        <f>-'Income Statement'!G12</f>
        <v>19500</v>
      </c>
    </row>
    <row r="34" spans="2:8" ht="19" x14ac:dyDescent="0.25">
      <c r="B34" s="45" t="str">
        <f>B6&amp;" as a % of rev"</f>
        <v>Accounts Receivable as a % of rev</v>
      </c>
      <c r="C34" s="49">
        <f>C6/C32</f>
        <v>0.01</v>
      </c>
      <c r="D34" s="50">
        <f>C34</f>
        <v>0.01</v>
      </c>
      <c r="E34" s="50">
        <f t="shared" ref="E34:H34" si="16">D34</f>
        <v>0.01</v>
      </c>
      <c r="F34" s="50">
        <f t="shared" si="16"/>
        <v>0.01</v>
      </c>
      <c r="G34" s="50">
        <f t="shared" si="16"/>
        <v>0.01</v>
      </c>
      <c r="H34" s="50">
        <f t="shared" si="16"/>
        <v>0.01</v>
      </c>
    </row>
    <row r="35" spans="2:8" ht="19" x14ac:dyDescent="0.25">
      <c r="B35" s="45" t="str">
        <f>B16&amp;" as a % of COGS"</f>
        <v>Accounts Payable as a % of COGS</v>
      </c>
      <c r="C35" s="49">
        <f>C16/C33</f>
        <v>2.2598870056497175E-2</v>
      </c>
      <c r="D35" s="50">
        <f t="shared" ref="D35:H36" si="17">C35</f>
        <v>2.2598870056497175E-2</v>
      </c>
      <c r="E35" s="50">
        <f t="shared" si="17"/>
        <v>2.2598870056497175E-2</v>
      </c>
      <c r="F35" s="50">
        <f t="shared" si="17"/>
        <v>2.2598870056497175E-2</v>
      </c>
      <c r="G35" s="50">
        <f t="shared" si="17"/>
        <v>2.2598870056497175E-2</v>
      </c>
      <c r="H35" s="50">
        <f t="shared" si="17"/>
        <v>2.2598870056497175E-2</v>
      </c>
    </row>
    <row r="36" spans="2:8" ht="19" x14ac:dyDescent="0.25">
      <c r="B36" s="45" t="str">
        <f>B17&amp;" as a % of rev"</f>
        <v>Deferred Revenue as a % of rev</v>
      </c>
      <c r="C36" s="49">
        <f>C17/C32</f>
        <v>6.6666666666666671E-3</v>
      </c>
      <c r="D36" s="50">
        <f t="shared" si="17"/>
        <v>6.6666666666666671E-3</v>
      </c>
      <c r="E36" s="50">
        <f t="shared" si="17"/>
        <v>6.6666666666666671E-3</v>
      </c>
      <c r="F36" s="50">
        <f t="shared" si="17"/>
        <v>6.6666666666666671E-3</v>
      </c>
      <c r="G36" s="50">
        <f t="shared" si="17"/>
        <v>6.6666666666666671E-3</v>
      </c>
      <c r="H36" s="50">
        <f t="shared" si="17"/>
        <v>6.6666666666666671E-3</v>
      </c>
    </row>
    <row r="37" spans="2:8" ht="19" x14ac:dyDescent="0.25">
      <c r="B37" s="45"/>
      <c r="C37" s="46"/>
      <c r="D37" s="46"/>
      <c r="E37" s="46"/>
      <c r="F37" s="46"/>
      <c r="G37" s="46"/>
      <c r="H37" s="46"/>
    </row>
    <row r="38" spans="2:8" ht="19" x14ac:dyDescent="0.25">
      <c r="B38" s="45" t="s">
        <v>74</v>
      </c>
      <c r="C38" s="46"/>
      <c r="D38" s="46"/>
      <c r="E38" s="46"/>
      <c r="F38" s="46"/>
      <c r="G38" s="46"/>
      <c r="H38" s="46"/>
    </row>
    <row r="39" spans="2:8" ht="19" x14ac:dyDescent="0.25">
      <c r="B39" s="45" t="s">
        <v>80</v>
      </c>
      <c r="C39" s="46"/>
      <c r="D39" s="46"/>
      <c r="E39" s="46"/>
      <c r="F39" s="47">
        <v>5000</v>
      </c>
      <c r="G39" s="46"/>
      <c r="H39" s="46"/>
    </row>
    <row r="40" spans="2:8" ht="19" x14ac:dyDescent="0.25">
      <c r="B40" s="45" t="s">
        <v>37</v>
      </c>
      <c r="C40" s="46"/>
      <c r="D40" s="47">
        <v>500</v>
      </c>
      <c r="E40" s="47">
        <v>500</v>
      </c>
      <c r="F40" s="47">
        <v>750</v>
      </c>
      <c r="G40" s="47">
        <v>750</v>
      </c>
      <c r="H40" s="47">
        <v>750</v>
      </c>
    </row>
    <row r="41" spans="2:8" ht="19" x14ac:dyDescent="0.25">
      <c r="B41" s="45" t="s">
        <v>81</v>
      </c>
      <c r="C41" s="46"/>
      <c r="D41" s="48">
        <v>7.0000000000000007E-2</v>
      </c>
      <c r="E41" s="48">
        <v>7.0000000000000007E-2</v>
      </c>
      <c r="F41" s="48">
        <v>7.0000000000000007E-2</v>
      </c>
      <c r="G41" s="48">
        <v>7.0000000000000007E-2</v>
      </c>
      <c r="H41" s="48">
        <v>7.0000000000000007E-2</v>
      </c>
    </row>
    <row r="42" spans="2:8" ht="19" x14ac:dyDescent="0.25">
      <c r="B42" s="13" t="s">
        <v>82</v>
      </c>
      <c r="C42" s="15"/>
      <c r="D42" s="15">
        <f>D41*D20</f>
        <v>665.00000000000011</v>
      </c>
      <c r="E42" s="15">
        <f t="shared" ref="E42:H42" si="18">E41*E20</f>
        <v>630.00000000000011</v>
      </c>
      <c r="F42" s="15">
        <f t="shared" si="18"/>
        <v>927.50000000000011</v>
      </c>
      <c r="G42" s="15">
        <f t="shared" si="18"/>
        <v>875.00000000000011</v>
      </c>
      <c r="H42" s="15">
        <f t="shared" si="18"/>
        <v>822.50000000000011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CEBC1-FB33-EC4C-9E8D-9CCF17FECAD1}">
  <dimension ref="B2:G18"/>
  <sheetViews>
    <sheetView showGridLines="0" workbookViewId="0">
      <selection activeCell="G11" sqref="G11"/>
    </sheetView>
  </sheetViews>
  <sheetFormatPr baseColWidth="10" defaultRowHeight="16" x14ac:dyDescent="0.2"/>
  <cols>
    <col min="1" max="1" width="7.6640625" customWidth="1"/>
    <col min="2" max="2" width="31.6640625" customWidth="1"/>
    <col min="3" max="3" width="13.5" bestFit="1" customWidth="1"/>
    <col min="4" max="4" width="11.1640625" bestFit="1" customWidth="1"/>
  </cols>
  <sheetData>
    <row r="2" spans="2:7" ht="22" x14ac:dyDescent="0.3">
      <c r="B2" s="1" t="s">
        <v>25</v>
      </c>
      <c r="C2" s="5"/>
      <c r="D2" s="2"/>
      <c r="E2" s="2"/>
      <c r="F2" s="2"/>
      <c r="G2" s="2"/>
    </row>
    <row r="3" spans="2:7" ht="23" thickBot="1" x14ac:dyDescent="0.35">
      <c r="B3" s="4" t="s">
        <v>1</v>
      </c>
      <c r="C3" s="32">
        <v>45658</v>
      </c>
      <c r="D3" s="32">
        <f>EDATE(C3,12)</f>
        <v>46023</v>
      </c>
      <c r="E3" s="32">
        <f t="shared" ref="E3:G3" si="0">EDATE(D3,12)</f>
        <v>46388</v>
      </c>
      <c r="F3" s="32">
        <f t="shared" si="0"/>
        <v>46753</v>
      </c>
      <c r="G3" s="32">
        <f t="shared" si="0"/>
        <v>47119</v>
      </c>
    </row>
    <row r="4" spans="2:7" ht="19" x14ac:dyDescent="0.25">
      <c r="B4" s="3" t="s">
        <v>26</v>
      </c>
      <c r="C4" s="21">
        <f>'Income Statement'!C26</f>
        <v>1684.7690476190478</v>
      </c>
      <c r="D4" s="21">
        <f>'Income Statement'!D26</f>
        <v>2324.6690476190479</v>
      </c>
      <c r="E4" s="21">
        <f>'Income Statement'!E26</f>
        <v>3314.1440476190478</v>
      </c>
      <c r="F4" s="21">
        <f>'Income Statement'!F26</f>
        <v>5192.3690476190477</v>
      </c>
      <c r="G4" s="21">
        <f>'Income Statement'!G26</f>
        <v>9262.8440476190481</v>
      </c>
    </row>
    <row r="5" spans="2:7" ht="19" x14ac:dyDescent="0.25">
      <c r="B5" s="3" t="s">
        <v>27</v>
      </c>
    </row>
    <row r="6" spans="2:7" ht="19" x14ac:dyDescent="0.25">
      <c r="B6" s="7" t="s">
        <v>28</v>
      </c>
      <c r="C6" s="21">
        <f>'Fixed Assets'!D15</f>
        <v>4952.3809523809523</v>
      </c>
      <c r="D6" s="21">
        <f>'Fixed Assets'!E15</f>
        <v>4952.3809523809523</v>
      </c>
      <c r="E6" s="21">
        <f>'Fixed Assets'!F15</f>
        <v>4952.3809523809523</v>
      </c>
      <c r="F6" s="21">
        <f>'Fixed Assets'!G15</f>
        <v>4952.3809523809523</v>
      </c>
      <c r="G6" s="21">
        <f>'Fixed Assets'!H15</f>
        <v>2952.3809523809523</v>
      </c>
    </row>
    <row r="7" spans="2:7" ht="19" x14ac:dyDescent="0.25">
      <c r="B7" s="7" t="s">
        <v>29</v>
      </c>
      <c r="C7" s="21">
        <f>-('Balance Sheet'!D6-'Balance Sheet'!C6)</f>
        <v>-87.5</v>
      </c>
      <c r="D7" s="21">
        <f>-('Balance Sheet'!E6-'Balance Sheet'!D6)</f>
        <v>-23.75</v>
      </c>
      <c r="E7" s="21">
        <f>-('Balance Sheet'!F6-'Balance Sheet'!E6)</f>
        <v>-47.5</v>
      </c>
      <c r="F7" s="21">
        <f>-('Balance Sheet'!G6-'Balance Sheet'!F6)</f>
        <v>-71.25</v>
      </c>
      <c r="G7" s="21">
        <f>-('Balance Sheet'!H6-'Balance Sheet'!G6)</f>
        <v>-95</v>
      </c>
    </row>
    <row r="8" spans="2:7" ht="19" x14ac:dyDescent="0.25">
      <c r="B8" s="7" t="s">
        <v>30</v>
      </c>
      <c r="C8" s="21">
        <f>'Balance Sheet'!D16-'Balance Sheet'!C16</f>
        <v>20.338983050847446</v>
      </c>
      <c r="D8" s="21">
        <f>'Balance Sheet'!E16-'Balance Sheet'!D16</f>
        <v>22.033898305084762</v>
      </c>
      <c r="E8" s="21">
        <f>'Balance Sheet'!F16-'Balance Sheet'!E16</f>
        <v>44.067796610169495</v>
      </c>
      <c r="F8" s="21">
        <f>'Balance Sheet'!G16-'Balance Sheet'!F16</f>
        <v>66.101694915254257</v>
      </c>
      <c r="G8" s="21">
        <f>'Balance Sheet'!H16-'Balance Sheet'!G16</f>
        <v>88.135593220338933</v>
      </c>
    </row>
    <row r="9" spans="2:7" ht="19" x14ac:dyDescent="0.25">
      <c r="B9" s="7" t="s">
        <v>31</v>
      </c>
      <c r="C9" s="21">
        <f>'Balance Sheet'!D17-'Balance Sheet'!C17</f>
        <v>58.333333333333343</v>
      </c>
      <c r="D9" s="21">
        <f>'Balance Sheet'!E17-'Balance Sheet'!D17</f>
        <v>15.833333333333343</v>
      </c>
      <c r="E9" s="21">
        <f>'Balance Sheet'!F17-'Balance Sheet'!E17</f>
        <v>31.666666666666657</v>
      </c>
      <c r="F9" s="21">
        <f>'Balance Sheet'!G17-'Balance Sheet'!F17</f>
        <v>47.5</v>
      </c>
      <c r="G9" s="21">
        <f>'Balance Sheet'!H17-'Balance Sheet'!G17</f>
        <v>63.333333333333343</v>
      </c>
    </row>
    <row r="10" spans="2:7" ht="19" x14ac:dyDescent="0.25">
      <c r="B10" s="8" t="s">
        <v>32</v>
      </c>
      <c r="C10" s="22">
        <f>SUM(C6:C9)</f>
        <v>4943.553268765133</v>
      </c>
      <c r="D10" s="22">
        <f t="shared" ref="D10:G10" si="1">SUM(D6:D9)</f>
        <v>4966.4981840193705</v>
      </c>
      <c r="E10" s="22">
        <f t="shared" si="1"/>
        <v>4980.6154156577886</v>
      </c>
      <c r="F10" s="22">
        <f t="shared" si="1"/>
        <v>4994.7326472962068</v>
      </c>
      <c r="G10" s="22">
        <f t="shared" si="1"/>
        <v>3008.8498789346245</v>
      </c>
    </row>
    <row r="11" spans="2:7" ht="19" x14ac:dyDescent="0.25">
      <c r="B11" s="3" t="s">
        <v>33</v>
      </c>
      <c r="C11" s="21"/>
      <c r="D11" s="21"/>
      <c r="E11" s="21"/>
      <c r="F11" s="21"/>
      <c r="G11" s="21"/>
    </row>
    <row r="12" spans="2:7" ht="19" x14ac:dyDescent="0.25">
      <c r="B12" s="7" t="s">
        <v>34</v>
      </c>
      <c r="C12" s="21">
        <f>-'Fixed Assets'!D8</f>
        <v>-14000</v>
      </c>
      <c r="D12" s="21">
        <f>-'Fixed Assets'!E8</f>
        <v>0</v>
      </c>
      <c r="E12" s="21">
        <f>-'Fixed Assets'!F8</f>
        <v>0</v>
      </c>
      <c r="F12" s="21">
        <f>-'Fixed Assets'!G8</f>
        <v>-5000</v>
      </c>
      <c r="G12" s="21">
        <f>-'Fixed Assets'!H8</f>
        <v>0</v>
      </c>
    </row>
    <row r="13" spans="2:7" ht="19" x14ac:dyDescent="0.25">
      <c r="B13" s="8" t="s">
        <v>35</v>
      </c>
      <c r="C13" s="22">
        <f>C12</f>
        <v>-14000</v>
      </c>
      <c r="D13" s="22">
        <f t="shared" ref="D13:G13" si="2">D12</f>
        <v>0</v>
      </c>
      <c r="E13" s="22">
        <f t="shared" si="2"/>
        <v>0</v>
      </c>
      <c r="F13" s="22">
        <f t="shared" si="2"/>
        <v>-5000</v>
      </c>
      <c r="G13" s="22">
        <f t="shared" si="2"/>
        <v>0</v>
      </c>
    </row>
    <row r="14" spans="2:7" ht="19" x14ac:dyDescent="0.25">
      <c r="B14" s="3" t="s">
        <v>36</v>
      </c>
      <c r="C14" s="21"/>
      <c r="D14" s="21"/>
      <c r="E14" s="21"/>
      <c r="F14" s="21"/>
      <c r="G14" s="21"/>
    </row>
    <row r="15" spans="2:7" ht="19" x14ac:dyDescent="0.25">
      <c r="B15" s="7" t="s">
        <v>37</v>
      </c>
      <c r="C15" s="21">
        <f>-'Balance Sheet'!D40</f>
        <v>-500</v>
      </c>
      <c r="D15" s="21">
        <f>-'Balance Sheet'!E40</f>
        <v>-500</v>
      </c>
      <c r="E15" s="21">
        <f>-'Balance Sheet'!F40</f>
        <v>-750</v>
      </c>
      <c r="F15" s="21">
        <f>-'Balance Sheet'!G40</f>
        <v>-750</v>
      </c>
      <c r="G15" s="21">
        <f>-'Balance Sheet'!H40</f>
        <v>-750</v>
      </c>
    </row>
    <row r="16" spans="2:7" ht="19" x14ac:dyDescent="0.25">
      <c r="B16" s="7" t="s">
        <v>38</v>
      </c>
      <c r="C16" s="21">
        <f>'Balance Sheet'!D39</f>
        <v>0</v>
      </c>
      <c r="D16" s="21">
        <f>'Balance Sheet'!E39</f>
        <v>0</v>
      </c>
      <c r="E16" s="21">
        <f>'Balance Sheet'!F39</f>
        <v>5000</v>
      </c>
      <c r="F16" s="21">
        <f>'Balance Sheet'!G39</f>
        <v>0</v>
      </c>
      <c r="G16" s="21">
        <f>'Balance Sheet'!H39</f>
        <v>0</v>
      </c>
    </row>
    <row r="17" spans="2:7" ht="19" x14ac:dyDescent="0.25">
      <c r="B17" s="8" t="s">
        <v>39</v>
      </c>
      <c r="C17" s="22">
        <f>SUM(C15:C16)</f>
        <v>-500</v>
      </c>
      <c r="D17" s="22">
        <f t="shared" ref="D17:G17" si="3">SUM(D15:D16)</f>
        <v>-500</v>
      </c>
      <c r="E17" s="22">
        <f t="shared" si="3"/>
        <v>4250</v>
      </c>
      <c r="F17" s="22">
        <f t="shared" si="3"/>
        <v>-750</v>
      </c>
      <c r="G17" s="22">
        <f t="shared" si="3"/>
        <v>-750</v>
      </c>
    </row>
    <row r="18" spans="2:7" ht="20" thickBot="1" x14ac:dyDescent="0.3">
      <c r="B18" s="11" t="s">
        <v>40</v>
      </c>
      <c r="C18" s="33">
        <f>C4+C10+C13+C17</f>
        <v>-7871.6776836158188</v>
      </c>
      <c r="D18" s="33">
        <f t="shared" ref="D18:G18" si="4">D4+D10+D13+D17</f>
        <v>6791.1672316384183</v>
      </c>
      <c r="E18" s="33">
        <f t="shared" si="4"/>
        <v>12544.759463276836</v>
      </c>
      <c r="F18" s="33">
        <f t="shared" si="4"/>
        <v>4437.1016949152545</v>
      </c>
      <c r="G18" s="33">
        <f t="shared" si="4"/>
        <v>11521.693926553673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FA2A-81B9-9746-B22E-354DC4757B35}">
  <dimension ref="B2:H15"/>
  <sheetViews>
    <sheetView showGridLines="0" workbookViewId="0"/>
  </sheetViews>
  <sheetFormatPr baseColWidth="10" defaultRowHeight="16" x14ac:dyDescent="0.2"/>
  <cols>
    <col min="1" max="1" width="8" customWidth="1"/>
    <col min="2" max="2" width="22.33203125" customWidth="1"/>
    <col min="3" max="3" width="19.1640625" customWidth="1"/>
    <col min="4" max="8" width="13.5" bestFit="1" customWidth="1"/>
  </cols>
  <sheetData>
    <row r="2" spans="2:8" ht="22" x14ac:dyDescent="0.3">
      <c r="B2" s="1" t="s">
        <v>46</v>
      </c>
      <c r="C2" s="5"/>
      <c r="D2" s="2"/>
      <c r="E2" s="2"/>
      <c r="F2" s="2"/>
      <c r="G2" s="2"/>
      <c r="H2" s="2"/>
    </row>
    <row r="3" spans="2:8" ht="23" thickBot="1" x14ac:dyDescent="0.35">
      <c r="B3" s="4" t="s">
        <v>1</v>
      </c>
      <c r="C3" s="31" t="s">
        <v>41</v>
      </c>
      <c r="D3" s="32">
        <v>45657</v>
      </c>
      <c r="E3" s="32">
        <f>EDATE(D3,12)</f>
        <v>46022</v>
      </c>
      <c r="F3" s="32">
        <f t="shared" ref="F3:H3" si="0">EDATE(E3,12)</f>
        <v>46387</v>
      </c>
      <c r="G3" s="32">
        <f t="shared" si="0"/>
        <v>46752</v>
      </c>
      <c r="H3" s="32">
        <f t="shared" si="0"/>
        <v>47118</v>
      </c>
    </row>
    <row r="4" spans="2:8" ht="19" x14ac:dyDescent="0.25">
      <c r="B4" s="3" t="s">
        <v>34</v>
      </c>
      <c r="C4" s="3"/>
      <c r="D4" s="6"/>
      <c r="E4" s="6"/>
      <c r="F4" s="6"/>
      <c r="G4" s="6"/>
      <c r="H4" s="6"/>
    </row>
    <row r="5" spans="2:8" ht="19" x14ac:dyDescent="0.25">
      <c r="B5" s="7" t="s">
        <v>61</v>
      </c>
      <c r="C5" s="30">
        <v>3</v>
      </c>
      <c r="D5" s="21">
        <v>5000</v>
      </c>
      <c r="E5" s="21"/>
      <c r="F5" s="21"/>
      <c r="G5" s="21">
        <v>5000</v>
      </c>
      <c r="H5" s="21"/>
    </row>
    <row r="6" spans="2:8" ht="19" x14ac:dyDescent="0.25">
      <c r="B6" s="7" t="s">
        <v>62</v>
      </c>
      <c r="C6" s="30">
        <v>7</v>
      </c>
      <c r="D6" s="21">
        <v>3000</v>
      </c>
      <c r="E6" s="21"/>
      <c r="F6" s="21"/>
      <c r="G6" s="21"/>
      <c r="H6" s="21"/>
    </row>
    <row r="7" spans="2:8" ht="19" x14ac:dyDescent="0.25">
      <c r="B7" s="7" t="s">
        <v>63</v>
      </c>
      <c r="C7" s="30">
        <v>7</v>
      </c>
      <c r="D7" s="21">
        <v>6000</v>
      </c>
      <c r="E7" s="21"/>
      <c r="F7" s="21"/>
      <c r="G7" s="21"/>
      <c r="H7" s="21"/>
    </row>
    <row r="8" spans="2:8" ht="20" thickBot="1" x14ac:dyDescent="0.3">
      <c r="B8" s="11" t="s">
        <v>64</v>
      </c>
      <c r="C8" s="11"/>
      <c r="D8" s="33">
        <f>SUM(D5:D7)</f>
        <v>14000</v>
      </c>
      <c r="E8" s="33">
        <f t="shared" ref="E8:H8" si="1">SUM(E5:E7)</f>
        <v>0</v>
      </c>
      <c r="F8" s="33">
        <f t="shared" si="1"/>
        <v>0</v>
      </c>
      <c r="G8" s="33">
        <f t="shared" si="1"/>
        <v>5000</v>
      </c>
      <c r="H8" s="33">
        <f t="shared" si="1"/>
        <v>0</v>
      </c>
    </row>
    <row r="9" spans="2:8" ht="19" x14ac:dyDescent="0.25">
      <c r="B9" s="3"/>
      <c r="C9" s="3"/>
      <c r="D9" s="6"/>
      <c r="E9" s="6"/>
      <c r="F9" s="6"/>
      <c r="G9" s="6"/>
      <c r="H9" s="6"/>
    </row>
    <row r="10" spans="2:8" ht="19" x14ac:dyDescent="0.25">
      <c r="B10" s="34" t="s">
        <v>28</v>
      </c>
      <c r="C10" s="3"/>
      <c r="D10" s="6"/>
      <c r="E10" s="6"/>
      <c r="F10" s="6"/>
      <c r="G10" s="6"/>
      <c r="H10" s="6"/>
    </row>
    <row r="11" spans="2:8" ht="19" x14ac:dyDescent="0.25">
      <c r="B11" s="7" t="s">
        <v>65</v>
      </c>
      <c r="C11" s="3"/>
      <c r="D11" s="21">
        <v>2000</v>
      </c>
      <c r="E11" s="21">
        <v>2000</v>
      </c>
      <c r="F11" s="21">
        <v>2000</v>
      </c>
      <c r="G11" s="21">
        <v>2000</v>
      </c>
      <c r="H11" s="21"/>
    </row>
    <row r="12" spans="2:8" ht="19" x14ac:dyDescent="0.25">
      <c r="B12" s="7" t="s">
        <v>61</v>
      </c>
      <c r="C12" s="3"/>
      <c r="D12" s="21">
        <f>$D5/$C5</f>
        <v>1666.6666666666667</v>
      </c>
      <c r="E12" s="21">
        <f t="shared" ref="E12:F12" si="2">$D5/$C5</f>
        <v>1666.6666666666667</v>
      </c>
      <c r="F12" s="21">
        <f t="shared" si="2"/>
        <v>1666.6666666666667</v>
      </c>
      <c r="G12" s="21">
        <f>$G5/$C5</f>
        <v>1666.6666666666667</v>
      </c>
      <c r="H12" s="21">
        <f>$G5/$C5</f>
        <v>1666.6666666666667</v>
      </c>
    </row>
    <row r="13" spans="2:8" ht="19" x14ac:dyDescent="0.25">
      <c r="B13" s="7" t="s">
        <v>62</v>
      </c>
      <c r="C13" s="3"/>
      <c r="D13" s="21">
        <f>$D6/$C6</f>
        <v>428.57142857142856</v>
      </c>
      <c r="E13" s="21">
        <f t="shared" ref="E13:H13" si="3">$D6/$C6</f>
        <v>428.57142857142856</v>
      </c>
      <c r="F13" s="21">
        <f t="shared" si="3"/>
        <v>428.57142857142856</v>
      </c>
      <c r="G13" s="21">
        <f t="shared" si="3"/>
        <v>428.57142857142856</v>
      </c>
      <c r="H13" s="21">
        <f t="shared" si="3"/>
        <v>428.57142857142856</v>
      </c>
    </row>
    <row r="14" spans="2:8" ht="19" x14ac:dyDescent="0.25">
      <c r="B14" s="7" t="s">
        <v>63</v>
      </c>
      <c r="C14" s="3"/>
      <c r="D14" s="21">
        <f>$D7/$C7</f>
        <v>857.14285714285711</v>
      </c>
      <c r="E14" s="21">
        <f t="shared" ref="E14:H14" si="4">$D7/$C7</f>
        <v>857.14285714285711</v>
      </c>
      <c r="F14" s="21">
        <f t="shared" si="4"/>
        <v>857.14285714285711</v>
      </c>
      <c r="G14" s="21">
        <f t="shared" si="4"/>
        <v>857.14285714285711</v>
      </c>
      <c r="H14" s="21">
        <f t="shared" si="4"/>
        <v>857.14285714285711</v>
      </c>
    </row>
    <row r="15" spans="2:8" ht="20" thickBot="1" x14ac:dyDescent="0.3">
      <c r="B15" s="11" t="s">
        <v>66</v>
      </c>
      <c r="C15" s="11"/>
      <c r="D15" s="33">
        <f>SUM(D11:D14)</f>
        <v>4952.3809523809523</v>
      </c>
      <c r="E15" s="33">
        <f t="shared" ref="E15:H15" si="5">SUM(E11:E14)</f>
        <v>4952.3809523809523</v>
      </c>
      <c r="F15" s="33">
        <f t="shared" si="5"/>
        <v>4952.3809523809523</v>
      </c>
      <c r="G15" s="33">
        <f t="shared" si="5"/>
        <v>4952.3809523809523</v>
      </c>
      <c r="H15" s="33">
        <f t="shared" si="5"/>
        <v>2952.3809523809523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7A6BF-FB3C-C045-A939-D916248D731E}">
  <dimension ref="B2:F14"/>
  <sheetViews>
    <sheetView showGridLines="0" workbookViewId="0"/>
  </sheetViews>
  <sheetFormatPr baseColWidth="10" defaultRowHeight="16" x14ac:dyDescent="0.2"/>
  <cols>
    <col min="1" max="1" width="8" customWidth="1"/>
    <col min="2" max="2" width="17.83203125" customWidth="1"/>
    <col min="3" max="3" width="15.83203125" customWidth="1"/>
    <col min="5" max="5" width="19.5" bestFit="1" customWidth="1"/>
    <col min="6" max="6" width="15.83203125" customWidth="1"/>
  </cols>
  <sheetData>
    <row r="2" spans="2:6" ht="22" x14ac:dyDescent="0.3">
      <c r="B2" s="74" t="s">
        <v>83</v>
      </c>
      <c r="C2" s="74"/>
      <c r="D2" s="74"/>
      <c r="E2" s="74"/>
      <c r="F2" s="74"/>
    </row>
    <row r="4" spans="2:6" ht="22" x14ac:dyDescent="0.3">
      <c r="B4" s="74" t="s">
        <v>70</v>
      </c>
      <c r="C4" s="74"/>
      <c r="E4" s="74" t="s">
        <v>0</v>
      </c>
      <c r="F4" s="74"/>
    </row>
    <row r="5" spans="2:6" ht="19" x14ac:dyDescent="0.25">
      <c r="B5" s="3" t="s">
        <v>84</v>
      </c>
      <c r="C5" s="43">
        <v>25000</v>
      </c>
      <c r="E5" s="3" t="s">
        <v>2</v>
      </c>
      <c r="F5" s="21">
        <f>C5*C6</f>
        <v>205332.27848227846</v>
      </c>
    </row>
    <row r="6" spans="2:6" ht="19" x14ac:dyDescent="0.25">
      <c r="B6" s="3" t="s">
        <v>85</v>
      </c>
      <c r="C6" s="52">
        <v>8.2132911392911385</v>
      </c>
      <c r="E6" s="3" t="s">
        <v>79</v>
      </c>
      <c r="F6" s="21">
        <f>C5*-C7</f>
        <v>-68750</v>
      </c>
    </row>
    <row r="7" spans="2:6" ht="19" x14ac:dyDescent="0.25">
      <c r="B7" s="3" t="s">
        <v>86</v>
      </c>
      <c r="C7" s="52">
        <v>2.75</v>
      </c>
      <c r="E7" s="8" t="s">
        <v>11</v>
      </c>
      <c r="F7" s="22">
        <f>SUM(F5:F6)</f>
        <v>136582.27848227846</v>
      </c>
    </row>
    <row r="8" spans="2:6" ht="19" x14ac:dyDescent="0.25">
      <c r="B8" s="3" t="s">
        <v>87</v>
      </c>
      <c r="C8" s="43">
        <v>10000</v>
      </c>
      <c r="E8" s="3" t="s">
        <v>87</v>
      </c>
      <c r="F8" s="21">
        <f>-C8</f>
        <v>-10000</v>
      </c>
    </row>
    <row r="9" spans="2:6" ht="19" x14ac:dyDescent="0.25">
      <c r="B9" s="3" t="s">
        <v>88</v>
      </c>
      <c r="C9" s="53">
        <v>0.21</v>
      </c>
      <c r="E9" s="8" t="s">
        <v>89</v>
      </c>
      <c r="F9" s="22">
        <f>SUM(F7:F8)</f>
        <v>126582.27848227846</v>
      </c>
    </row>
    <row r="10" spans="2:6" ht="19" x14ac:dyDescent="0.25">
      <c r="B10" s="3"/>
      <c r="C10" s="3"/>
      <c r="E10" s="3" t="s">
        <v>68</v>
      </c>
      <c r="F10" s="21">
        <f>IF(F9&lt;0,"0",F9*-C9)</f>
        <v>-26582.278481278474</v>
      </c>
    </row>
    <row r="11" spans="2:6" ht="23" thickBot="1" x14ac:dyDescent="0.35">
      <c r="B11" s="74" t="s">
        <v>90</v>
      </c>
      <c r="C11" s="74"/>
      <c r="E11" s="65" t="s">
        <v>91</v>
      </c>
      <c r="F11" s="73">
        <f>SUM(F9:F10)</f>
        <v>100000.00000099998</v>
      </c>
    </row>
    <row r="12" spans="2:6" ht="19" x14ac:dyDescent="0.25">
      <c r="B12" s="3" t="s">
        <v>26</v>
      </c>
      <c r="C12" s="21">
        <v>100000</v>
      </c>
    </row>
    <row r="13" spans="2:6" ht="19" x14ac:dyDescent="0.25">
      <c r="B13" s="3" t="s">
        <v>92</v>
      </c>
      <c r="C13" s="21">
        <v>25000</v>
      </c>
    </row>
    <row r="14" spans="2:6" ht="19" x14ac:dyDescent="0.25">
      <c r="B14" s="3" t="s">
        <v>93</v>
      </c>
      <c r="C14" s="6">
        <v>9.99</v>
      </c>
    </row>
  </sheetData>
  <mergeCells count="4">
    <mergeCell ref="B2:F2"/>
    <mergeCell ref="B4:C4"/>
    <mergeCell ref="E4:F4"/>
    <mergeCell ref="B11:C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3C240-243F-F747-B9F4-50F6413D65D8}">
  <dimension ref="B2:N14"/>
  <sheetViews>
    <sheetView showGridLines="0" workbookViewId="0"/>
  </sheetViews>
  <sheetFormatPr baseColWidth="10" defaultRowHeight="16" x14ac:dyDescent="0.2"/>
  <cols>
    <col min="1" max="1" width="6.5" customWidth="1"/>
    <col min="2" max="2" width="17.6640625" customWidth="1"/>
    <col min="4" max="4" width="6.33203125" customWidth="1"/>
    <col min="5" max="5" width="20" bestFit="1" customWidth="1"/>
    <col min="6" max="6" width="10.1640625" bestFit="1" customWidth="1"/>
    <col min="7" max="7" width="7.83203125" customWidth="1"/>
    <col min="8" max="8" width="5.5" customWidth="1"/>
    <col min="9" max="9" width="10.1640625" bestFit="1" customWidth="1"/>
    <col min="10" max="10" width="12" bestFit="1" customWidth="1"/>
    <col min="11" max="14" width="13.1640625" bestFit="1" customWidth="1"/>
  </cols>
  <sheetData>
    <row r="2" spans="2:14" ht="22" x14ac:dyDescent="0.3">
      <c r="B2" s="74" t="s">
        <v>94</v>
      </c>
      <c r="C2" s="74"/>
      <c r="D2" s="74"/>
      <c r="E2" s="74"/>
      <c r="F2" s="74"/>
      <c r="H2" s="74" t="s">
        <v>95</v>
      </c>
      <c r="I2" s="74"/>
      <c r="J2" s="74"/>
      <c r="K2" s="74"/>
      <c r="L2" s="74"/>
      <c r="M2" s="74"/>
      <c r="N2" s="74"/>
    </row>
    <row r="3" spans="2:14" ht="19" x14ac:dyDescent="0.25">
      <c r="I3" s="9"/>
      <c r="J3" s="75" t="s">
        <v>96</v>
      </c>
      <c r="K3" s="75"/>
      <c r="L3" s="75"/>
      <c r="M3" s="75"/>
      <c r="N3" s="75"/>
    </row>
    <row r="4" spans="2:14" ht="22" x14ac:dyDescent="0.3">
      <c r="B4" s="74" t="s">
        <v>70</v>
      </c>
      <c r="C4" s="74"/>
      <c r="E4" s="74" t="s">
        <v>0</v>
      </c>
      <c r="F4" s="74"/>
      <c r="H4" s="34"/>
      <c r="I4" s="72">
        <f>F11</f>
        <v>100000.00000099998</v>
      </c>
      <c r="J4" s="54">
        <f>K4-5000</f>
        <v>15000</v>
      </c>
      <c r="K4" s="54">
        <f>L4-5000</f>
        <v>20000</v>
      </c>
      <c r="L4" s="55">
        <v>25000</v>
      </c>
      <c r="M4" s="54">
        <f>L4+5000</f>
        <v>30000</v>
      </c>
      <c r="N4" s="54">
        <f>M4+5000</f>
        <v>35000</v>
      </c>
    </row>
    <row r="5" spans="2:14" ht="19" customHeight="1" x14ac:dyDescent="0.25">
      <c r="B5" s="3" t="s">
        <v>84</v>
      </c>
      <c r="C5" s="43">
        <v>25000</v>
      </c>
      <c r="E5" s="3" t="s">
        <v>2</v>
      </c>
      <c r="F5" s="21">
        <f>C5*C6</f>
        <v>205332.27848227846</v>
      </c>
      <c r="H5" s="76" t="s">
        <v>97</v>
      </c>
      <c r="I5" s="56">
        <f>I6-1</f>
        <v>6.2132911392911385</v>
      </c>
      <c r="J5" s="57">
        <f t="dataTable" ref="J5:N9" dt2D="1" dtr="1" r1="C5" r2="C6"/>
        <v>33140.00000059999</v>
      </c>
      <c r="K5" s="40">
        <v>46820.000000799992</v>
      </c>
      <c r="L5" s="40">
        <v>60500.000000999986</v>
      </c>
      <c r="M5" s="40">
        <v>74180.00000119998</v>
      </c>
      <c r="N5" s="40">
        <v>87860.000001399982</v>
      </c>
    </row>
    <row r="6" spans="2:14" ht="19" x14ac:dyDescent="0.25">
      <c r="B6" s="3" t="s">
        <v>85</v>
      </c>
      <c r="C6" s="52">
        <v>8.2132911392911385</v>
      </c>
      <c r="E6" s="3" t="s">
        <v>79</v>
      </c>
      <c r="F6" s="21">
        <f>C5*-C7</f>
        <v>-68750</v>
      </c>
      <c r="H6" s="76"/>
      <c r="I6" s="56">
        <f>I7-1</f>
        <v>7.2132911392911385</v>
      </c>
      <c r="J6" s="58">
        <v>44990.00000059999</v>
      </c>
      <c r="K6" s="59">
        <v>62620.000000799984</v>
      </c>
      <c r="L6" s="59">
        <v>80250.000000999979</v>
      </c>
      <c r="M6" s="59">
        <v>97880.00000119998</v>
      </c>
      <c r="N6" s="40">
        <v>115510.00000139998</v>
      </c>
    </row>
    <row r="7" spans="2:14" ht="19" x14ac:dyDescent="0.25">
      <c r="B7" s="3" t="s">
        <v>86</v>
      </c>
      <c r="C7" s="52">
        <v>2.75</v>
      </c>
      <c r="E7" s="8" t="s">
        <v>11</v>
      </c>
      <c r="F7" s="22">
        <f>SUM(F5:F6)</f>
        <v>136582.27848227846</v>
      </c>
      <c r="H7" s="76"/>
      <c r="I7" s="60">
        <v>8.2132911392911385</v>
      </c>
      <c r="J7" s="58">
        <v>56840.00000059999</v>
      </c>
      <c r="K7" s="59">
        <v>78420.000000799977</v>
      </c>
      <c r="L7" s="61">
        <v>100000.00000099998</v>
      </c>
      <c r="M7" s="59">
        <v>121580.00000119998</v>
      </c>
      <c r="N7" s="40">
        <v>143160.00000139998</v>
      </c>
    </row>
    <row r="8" spans="2:14" ht="19" x14ac:dyDescent="0.25">
      <c r="B8" s="3" t="s">
        <v>87</v>
      </c>
      <c r="C8" s="43">
        <v>10000</v>
      </c>
      <c r="E8" s="3" t="s">
        <v>87</v>
      </c>
      <c r="F8" s="21">
        <f>-C8</f>
        <v>-10000</v>
      </c>
      <c r="H8" s="76"/>
      <c r="I8" s="56">
        <f>I7+1</f>
        <v>9.2132911392911385</v>
      </c>
      <c r="J8" s="58">
        <v>68690.000000599975</v>
      </c>
      <c r="K8" s="59">
        <v>94220.000000799977</v>
      </c>
      <c r="L8" s="59">
        <v>119750.00000099998</v>
      </c>
      <c r="M8" s="59">
        <v>145280.00000119995</v>
      </c>
      <c r="N8" s="40">
        <v>170810.00000139998</v>
      </c>
    </row>
    <row r="9" spans="2:14" ht="19" x14ac:dyDescent="0.25">
      <c r="B9" s="3" t="s">
        <v>88</v>
      </c>
      <c r="C9" s="53">
        <v>0.21</v>
      </c>
      <c r="E9" s="8" t="s">
        <v>89</v>
      </c>
      <c r="F9" s="22">
        <f>SUM(F7:F8)</f>
        <v>126582.27848227846</v>
      </c>
      <c r="H9" s="76"/>
      <c r="I9" s="56">
        <f>I8+1</f>
        <v>10.213291139291139</v>
      </c>
      <c r="J9" s="58">
        <v>80540.000000599975</v>
      </c>
      <c r="K9" s="40">
        <v>110020.00000079998</v>
      </c>
      <c r="L9" s="40">
        <v>139500.00000099998</v>
      </c>
      <c r="M9" s="40">
        <v>168980.00000119995</v>
      </c>
      <c r="N9" s="40">
        <v>198460.00000139998</v>
      </c>
    </row>
    <row r="10" spans="2:14" ht="19" x14ac:dyDescent="0.25">
      <c r="B10" s="3"/>
      <c r="C10" s="3"/>
      <c r="E10" s="3" t="s">
        <v>68</v>
      </c>
      <c r="F10" s="21">
        <f>IF(F9&lt;0,"0",F9*-C9)</f>
        <v>-26582.278481278474</v>
      </c>
    </row>
    <row r="11" spans="2:14" ht="23" thickBot="1" x14ac:dyDescent="0.35">
      <c r="B11" s="74" t="s">
        <v>90</v>
      </c>
      <c r="C11" s="74"/>
      <c r="E11" s="65" t="s">
        <v>91</v>
      </c>
      <c r="F11" s="73">
        <f>SUM(F9:F10)</f>
        <v>100000.00000099998</v>
      </c>
    </row>
    <row r="12" spans="2:14" ht="19" x14ac:dyDescent="0.25">
      <c r="B12" s="3" t="s">
        <v>26</v>
      </c>
      <c r="C12" s="21">
        <v>100000</v>
      </c>
    </row>
    <row r="13" spans="2:14" ht="19" x14ac:dyDescent="0.25">
      <c r="B13" s="3" t="s">
        <v>92</v>
      </c>
      <c r="C13" s="21">
        <v>25000</v>
      </c>
    </row>
    <row r="14" spans="2:14" ht="19" x14ac:dyDescent="0.25">
      <c r="B14" s="3" t="s">
        <v>93</v>
      </c>
      <c r="C14" s="6">
        <v>9.99</v>
      </c>
    </row>
  </sheetData>
  <mergeCells count="7">
    <mergeCell ref="B11:C11"/>
    <mergeCell ref="B2:F2"/>
    <mergeCell ref="H2:N2"/>
    <mergeCell ref="J3:N3"/>
    <mergeCell ref="B4:C4"/>
    <mergeCell ref="E4:F4"/>
    <mergeCell ref="H5:H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45D9-9B75-D942-8C17-38B8B94A1FCD}">
  <dimension ref="B2:E18"/>
  <sheetViews>
    <sheetView showGridLines="0" workbookViewId="0"/>
  </sheetViews>
  <sheetFormatPr baseColWidth="10" defaultRowHeight="16" x14ac:dyDescent="0.2"/>
  <cols>
    <col min="1" max="1" width="7.83203125" customWidth="1"/>
    <col min="2" max="2" width="22.1640625" customWidth="1"/>
    <col min="3" max="3" width="15.83203125" style="71" customWidth="1"/>
  </cols>
  <sheetData>
    <row r="2" spans="2:5" ht="22" x14ac:dyDescent="0.3">
      <c r="B2" s="77" t="s">
        <v>98</v>
      </c>
      <c r="C2" s="77"/>
      <c r="D2" s="77"/>
      <c r="E2" s="77"/>
    </row>
    <row r="3" spans="2:5" ht="19" x14ac:dyDescent="0.25">
      <c r="B3" s="62" t="s">
        <v>99</v>
      </c>
      <c r="C3" s="63">
        <v>45658</v>
      </c>
      <c r="D3" s="63">
        <f>EDATE(C3,12)</f>
        <v>46023</v>
      </c>
      <c r="E3" s="63">
        <f>EDATE(D3,12)</f>
        <v>46388</v>
      </c>
    </row>
    <row r="4" spans="2:5" ht="19" x14ac:dyDescent="0.25">
      <c r="B4" s="3" t="s">
        <v>100</v>
      </c>
      <c r="C4" s="64">
        <f>CHOOSE($C$8,C11,C12,C13)</f>
        <v>50000</v>
      </c>
      <c r="D4" s="64">
        <f t="shared" ref="D4:E4" si="0">CHOOSE($C$8,D11,D12,D13)</f>
        <v>125000</v>
      </c>
      <c r="E4" s="64">
        <f t="shared" si="0"/>
        <v>250000</v>
      </c>
    </row>
    <row r="5" spans="2:5" ht="19" x14ac:dyDescent="0.25">
      <c r="B5" s="3" t="s">
        <v>101</v>
      </c>
      <c r="C5" s="64">
        <f>CHOOSE($C$8,C16,C17,C18,)</f>
        <v>-5000</v>
      </c>
      <c r="D5" s="64">
        <f t="shared" ref="D5:E5" si="1">CHOOSE($C$8,D16,D17,D18,)</f>
        <v>-12500</v>
      </c>
      <c r="E5" s="64">
        <f t="shared" si="1"/>
        <v>-25000</v>
      </c>
    </row>
    <row r="6" spans="2:5" ht="20" thickBot="1" x14ac:dyDescent="0.3">
      <c r="B6" s="65" t="s">
        <v>102</v>
      </c>
      <c r="C6" s="66">
        <f>SUM(C4:C5)</f>
        <v>45000</v>
      </c>
      <c r="D6" s="66">
        <f t="shared" ref="D6:E6" si="2">SUM(D4:D5)</f>
        <v>112500</v>
      </c>
      <c r="E6" s="66">
        <f t="shared" si="2"/>
        <v>225000</v>
      </c>
    </row>
    <row r="7" spans="2:5" ht="19" x14ac:dyDescent="0.25">
      <c r="B7" s="9"/>
      <c r="C7" s="67"/>
      <c r="D7" s="9"/>
      <c r="E7" s="9"/>
    </row>
    <row r="8" spans="2:5" ht="19" x14ac:dyDescent="0.25">
      <c r="B8" s="68" t="s">
        <v>108</v>
      </c>
      <c r="C8" s="67">
        <v>1</v>
      </c>
      <c r="D8" s="9"/>
      <c r="E8" s="9"/>
    </row>
    <row r="9" spans="2:5" ht="19" x14ac:dyDescent="0.25">
      <c r="B9" s="9"/>
      <c r="C9" s="67"/>
      <c r="D9" s="9"/>
      <c r="E9" s="9"/>
    </row>
    <row r="10" spans="2:5" ht="19" x14ac:dyDescent="0.25">
      <c r="B10" s="14" t="s">
        <v>103</v>
      </c>
      <c r="C10" s="29"/>
      <c r="D10" s="13"/>
      <c r="E10" s="13"/>
    </row>
    <row r="11" spans="2:5" ht="19" x14ac:dyDescent="0.25">
      <c r="B11" s="20" t="s">
        <v>104</v>
      </c>
      <c r="C11" s="69">
        <v>50000</v>
      </c>
      <c r="D11" s="16">
        <v>125000</v>
      </c>
      <c r="E11" s="16">
        <v>250000</v>
      </c>
    </row>
    <row r="12" spans="2:5" ht="19" x14ac:dyDescent="0.25">
      <c r="B12" s="20" t="s">
        <v>105</v>
      </c>
      <c r="C12" s="69">
        <v>25000</v>
      </c>
      <c r="D12" s="16">
        <v>37500</v>
      </c>
      <c r="E12" s="16">
        <v>50000</v>
      </c>
    </row>
    <row r="13" spans="2:5" ht="19" x14ac:dyDescent="0.25">
      <c r="B13" s="20" t="s">
        <v>106</v>
      </c>
      <c r="C13" s="69">
        <v>12500</v>
      </c>
      <c r="D13" s="16">
        <v>13000</v>
      </c>
      <c r="E13" s="16">
        <v>13250</v>
      </c>
    </row>
    <row r="14" spans="2:5" ht="19" x14ac:dyDescent="0.25">
      <c r="B14" s="13"/>
      <c r="C14" s="70"/>
      <c r="D14" s="15"/>
      <c r="E14" s="15"/>
    </row>
    <row r="15" spans="2:5" ht="19" x14ac:dyDescent="0.25">
      <c r="B15" s="14" t="s">
        <v>107</v>
      </c>
      <c r="C15" s="70"/>
      <c r="D15" s="15"/>
      <c r="E15" s="15"/>
    </row>
    <row r="16" spans="2:5" ht="19" x14ac:dyDescent="0.25">
      <c r="B16" s="20" t="s">
        <v>104</v>
      </c>
      <c r="C16" s="69">
        <v>-5000</v>
      </c>
      <c r="D16" s="16">
        <v>-12500</v>
      </c>
      <c r="E16" s="16">
        <v>-25000</v>
      </c>
    </row>
    <row r="17" spans="2:5" ht="19" x14ac:dyDescent="0.25">
      <c r="B17" s="20" t="s">
        <v>105</v>
      </c>
      <c r="C17" s="69">
        <v>-16000</v>
      </c>
      <c r="D17" s="16">
        <v>-25000</v>
      </c>
      <c r="E17" s="16">
        <v>-37500</v>
      </c>
    </row>
    <row r="18" spans="2:5" ht="19" x14ac:dyDescent="0.25">
      <c r="B18" s="20" t="s">
        <v>106</v>
      </c>
      <c r="C18" s="69">
        <v>-22500</v>
      </c>
      <c r="D18" s="16">
        <v>-30000</v>
      </c>
      <c r="E18" s="16">
        <v>-45000</v>
      </c>
    </row>
  </sheetData>
  <mergeCells count="1">
    <mergeCell ref="B2:E2"/>
  </mergeCells>
  <dataValidations count="1">
    <dataValidation type="list" allowBlank="1" showInputMessage="1" showErrorMessage="1" sqref="C8" xr:uid="{07DF3230-261C-7240-BD94-44DDBB61AC36}">
      <formula1>"1,2,3"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Income Statement</vt:lpstr>
      <vt:lpstr>Balance Sheet</vt:lpstr>
      <vt:lpstr>Statement of Cashflow</vt:lpstr>
      <vt:lpstr>Fixed Assets</vt:lpstr>
      <vt:lpstr>Goal Seek</vt:lpstr>
      <vt:lpstr>Sensitivity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LaShonda Dickson</dc:creator>
  <cp:lastModifiedBy>LaShonda Dickson</cp:lastModifiedBy>
  <dcterms:created xsi:type="dcterms:W3CDTF">2025-11-10T15:58:04Z</dcterms:created>
  <dcterms:modified xsi:type="dcterms:W3CDTF">2025-11-11T22:52:34Z</dcterms:modified>
</cp:coreProperties>
</file>