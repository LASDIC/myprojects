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esedickson/Documents/"/>
    </mc:Choice>
  </mc:AlternateContent>
  <xr:revisionPtr revIDLastSave="0" documentId="13_ncr:1_{49C6EC5E-D713-1B48-AB21-F899DEA10AD3}" xr6:coauthVersionLast="47" xr6:coauthVersionMax="47" xr10:uidLastSave="{00000000-0000-0000-0000-000000000000}"/>
  <bookViews>
    <workbookView xWindow="18300" yWindow="1500" windowWidth="20100" windowHeight="16940" xr2:uid="{C1600192-4B33-B643-BB61-BF36EF88D5CD}"/>
  </bookViews>
  <sheets>
    <sheet name="Goal Seek" sheetId="1" r:id="rId1"/>
    <sheet name="Sensitivity" sheetId="2" r:id="rId2"/>
    <sheet name="Scenario" sheetId="3" r:id="rId3"/>
  </sheets>
  <definedNames>
    <definedName name="solver_adj" localSheetId="0" hidden="1">'Goal Seek'!$C$5:$C$6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'Goal Seek'!$C$5</definedName>
    <definedName name="solver_lhs2" localSheetId="0" hidden="1">'Goal Seek'!$C$6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opt" localSheetId="0" hidden="1">'Goal Seek'!$F$11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'Goal Seek'!$C$13</definedName>
    <definedName name="solver_rhs2" localSheetId="0" hidden="1">'Goal Seek'!$C$14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D4" i="3"/>
  <c r="D6" i="3" s="1"/>
  <c r="E4" i="3"/>
  <c r="C5" i="3"/>
  <c r="C4" i="3"/>
  <c r="D3" i="3"/>
  <c r="E3" i="3" s="1"/>
  <c r="I8" i="2"/>
  <c r="I9" i="2" s="1"/>
  <c r="I6" i="2"/>
  <c r="I5" i="2" s="1"/>
  <c r="N4" i="2"/>
  <c r="M4" i="2"/>
  <c r="K4" i="2"/>
  <c r="J4" i="2" s="1"/>
  <c r="F8" i="2"/>
  <c r="F7" i="2"/>
  <c r="F9" i="2" s="1"/>
  <c r="F6" i="2"/>
  <c r="F5" i="2"/>
  <c r="F8" i="1"/>
  <c r="F6" i="1"/>
  <c r="F5" i="1"/>
  <c r="C6" i="3" l="1"/>
  <c r="E6" i="3"/>
  <c r="F10" i="2"/>
  <c r="F11" i="2" s="1"/>
  <c r="I4" i="2" s="1"/>
  <c r="F7" i="1"/>
  <c r="F9" i="1" s="1"/>
  <c r="F10" i="1"/>
  <c r="F11" i="1" s="1"/>
</calcChain>
</file>

<file path=xl/sharedStrings.xml><?xml version="1.0" encoding="utf-8"?>
<sst xmlns="http://schemas.openxmlformats.org/spreadsheetml/2006/main" count="55" uniqueCount="33">
  <si>
    <t>Goal Seek</t>
  </si>
  <si>
    <t>Assumptions</t>
  </si>
  <si>
    <t>Income Statement</t>
  </si>
  <si>
    <t>Units sold</t>
  </si>
  <si>
    <t>Price per Unit</t>
  </si>
  <si>
    <t>Cost per unit</t>
  </si>
  <si>
    <t>Price per unit</t>
  </si>
  <si>
    <t>G&amp;A</t>
  </si>
  <si>
    <t>Tax Rate</t>
  </si>
  <si>
    <t>Revenue</t>
  </si>
  <si>
    <t>COGS</t>
  </si>
  <si>
    <t>Gross Profit</t>
  </si>
  <si>
    <t>Earnings Before Tax</t>
  </si>
  <si>
    <t>Taxes</t>
  </si>
  <si>
    <t>Net Income (Loss)</t>
  </si>
  <si>
    <t>Contraints</t>
  </si>
  <si>
    <t>Net Income</t>
  </si>
  <si>
    <t>Units Sold</t>
  </si>
  <si>
    <t>Price</t>
  </si>
  <si>
    <t>Sensitivity Analysis</t>
  </si>
  <si>
    <t>Price &amp; Quality Sensitivity</t>
  </si>
  <si>
    <t>Quality Sold</t>
  </si>
  <si>
    <t>Scenario Analysis</t>
  </si>
  <si>
    <t>$ In Actual figures</t>
  </si>
  <si>
    <t>Revenuess</t>
  </si>
  <si>
    <t>Cost</t>
  </si>
  <si>
    <t>Net Income Loss</t>
  </si>
  <si>
    <t>Revenue Scenarios</t>
  </si>
  <si>
    <t>1. Best Case</t>
  </si>
  <si>
    <t>2. Base Case</t>
  </si>
  <si>
    <t>3. Worst Case</t>
  </si>
  <si>
    <t>Cost Scenarios</t>
  </si>
  <si>
    <t>Choose Scenario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</si>
</sst>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9" formatCode="yyyy\E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70C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70C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43" fontId="3" fillId="0" borderId="0" xfId="1" applyFont="1"/>
    <xf numFmtId="165" fontId="3" fillId="0" borderId="0" xfId="1" applyNumberFormat="1" applyFont="1"/>
    <xf numFmtId="165" fontId="4" fillId="0" borderId="0" xfId="1" applyNumberFormat="1" applyFont="1"/>
    <xf numFmtId="43" fontId="4" fillId="0" borderId="0" xfId="1" applyNumberFormat="1" applyFont="1"/>
    <xf numFmtId="9" fontId="4" fillId="0" borderId="0" xfId="2" applyFont="1"/>
    <xf numFmtId="0" fontId="5" fillId="0" borderId="1" xfId="0" applyFont="1" applyBorder="1"/>
    <xf numFmtId="0" fontId="5" fillId="3" borderId="2" xfId="0" applyFont="1" applyFill="1" applyBorder="1"/>
    <xf numFmtId="165" fontId="5" fillId="0" borderId="1" xfId="1" applyNumberFormat="1" applyFont="1" applyBorder="1"/>
    <xf numFmtId="165" fontId="5" fillId="3" borderId="2" xfId="1" applyNumberFormat="1" applyFont="1" applyFill="1" applyBorder="1"/>
    <xf numFmtId="43" fontId="4" fillId="0" borderId="0" xfId="1" applyFont="1"/>
    <xf numFmtId="0" fontId="3" fillId="0" borderId="0" xfId="0" applyFont="1" applyFill="1" applyBorder="1"/>
    <xf numFmtId="0" fontId="5" fillId="0" borderId="3" xfId="0" applyFont="1" applyBorder="1" applyAlignment="1">
      <alignment horizontal="center"/>
    </xf>
    <xf numFmtId="0" fontId="5" fillId="0" borderId="0" xfId="0" applyFont="1" applyBorder="1" applyAlignment="1"/>
    <xf numFmtId="0" fontId="7" fillId="0" borderId="0" xfId="0" applyFont="1"/>
    <xf numFmtId="165" fontId="7" fillId="0" borderId="0" xfId="0" applyNumberFormat="1" applyFont="1" applyBorder="1"/>
    <xf numFmtId="165" fontId="7" fillId="0" borderId="3" xfId="0" applyNumberFormat="1" applyFont="1" applyBorder="1"/>
    <xf numFmtId="165" fontId="8" fillId="0" borderId="3" xfId="0" applyNumberFormat="1" applyFont="1" applyBorder="1"/>
    <xf numFmtId="0" fontId="5" fillId="0" borderId="7" xfId="0" applyFont="1" applyBorder="1" applyAlignment="1">
      <alignment horizontal="center" vertical="center" textRotation="90"/>
    </xf>
    <xf numFmtId="165" fontId="7" fillId="0" borderId="6" xfId="0" applyNumberFormat="1" applyFont="1" applyBorder="1"/>
    <xf numFmtId="165" fontId="8" fillId="0" borderId="6" xfId="0" applyNumberFormat="1" applyFont="1" applyBorder="1"/>
    <xf numFmtId="165" fontId="7" fillId="0" borderId="4" xfId="1" applyNumberFormat="1" applyFont="1" applyBorder="1"/>
    <xf numFmtId="165" fontId="7" fillId="0" borderId="0" xfId="1" applyNumberFormat="1" applyFont="1"/>
    <xf numFmtId="165" fontId="7" fillId="0" borderId="5" xfId="1" applyNumberFormat="1" applyFont="1" applyBorder="1"/>
    <xf numFmtId="165" fontId="7" fillId="4" borderId="0" xfId="1" applyNumberFormat="1" applyFont="1" applyFill="1"/>
    <xf numFmtId="165" fontId="7" fillId="5" borderId="0" xfId="1" applyNumberFormat="1" applyFont="1" applyFill="1"/>
    <xf numFmtId="0" fontId="2" fillId="6" borderId="0" xfId="0" applyFont="1" applyFill="1" applyAlignment="1">
      <alignment horizontal="center"/>
    </xf>
    <xf numFmtId="0" fontId="6" fillId="6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left" indent="1"/>
    </xf>
    <xf numFmtId="165" fontId="4" fillId="7" borderId="0" xfId="1" applyNumberFormat="1" applyFont="1" applyFill="1"/>
    <xf numFmtId="165" fontId="3" fillId="7" borderId="0" xfId="1" applyNumberFormat="1" applyFont="1" applyFill="1"/>
    <xf numFmtId="0" fontId="3" fillId="7" borderId="0" xfId="0" applyFont="1" applyFill="1" applyAlignment="1">
      <alignment horizontal="center" vertical="center"/>
    </xf>
    <xf numFmtId="165" fontId="4" fillId="7" borderId="0" xfId="1" applyNumberFormat="1" applyFont="1" applyFill="1" applyAlignment="1">
      <alignment horizontal="center" vertical="center"/>
    </xf>
    <xf numFmtId="165" fontId="3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0" xfId="0" applyFont="1" applyFill="1"/>
    <xf numFmtId="169" fontId="6" fillId="6" borderId="0" xfId="0" applyNumberFormat="1" applyFont="1" applyFill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169" fontId="6" fillId="6" borderId="0" xfId="0" applyNumberFormat="1" applyFont="1" applyFill="1" applyAlignment="1"/>
    <xf numFmtId="0" fontId="5" fillId="3" borderId="8" xfId="0" applyFont="1" applyFill="1" applyBorder="1"/>
    <xf numFmtId="0" fontId="5" fillId="0" borderId="0" xfId="0" applyFont="1" applyBorder="1" applyAlignment="1">
      <alignment horizontal="right"/>
    </xf>
    <xf numFmtId="165" fontId="3" fillId="0" borderId="0" xfId="1" applyNumberFormat="1" applyFont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1650-34AB-BE42-A8B2-24A15ED3CAD6}">
  <dimension ref="B2:F14"/>
  <sheetViews>
    <sheetView showGridLines="0" tabSelected="1" workbookViewId="0">
      <selection activeCell="C28" sqref="C28"/>
    </sheetView>
  </sheetViews>
  <sheetFormatPr baseColWidth="10" defaultRowHeight="16" x14ac:dyDescent="0.2"/>
  <cols>
    <col min="2" max="2" width="17.83203125" customWidth="1"/>
    <col min="3" max="3" width="15.83203125" customWidth="1"/>
    <col min="5" max="5" width="19.5" bestFit="1" customWidth="1"/>
    <col min="6" max="6" width="15.83203125" customWidth="1"/>
  </cols>
  <sheetData>
    <row r="2" spans="2:6" ht="22" x14ac:dyDescent="0.3">
      <c r="B2" s="1" t="s">
        <v>0</v>
      </c>
      <c r="C2" s="1"/>
      <c r="D2" s="1"/>
      <c r="E2" s="1"/>
      <c r="F2" s="1"/>
    </row>
    <row r="4" spans="2:6" ht="22" x14ac:dyDescent="0.3">
      <c r="B4" s="1" t="s">
        <v>1</v>
      </c>
      <c r="C4" s="1"/>
      <c r="E4" s="1" t="s">
        <v>2</v>
      </c>
      <c r="F4" s="1"/>
    </row>
    <row r="5" spans="2:6" ht="19" x14ac:dyDescent="0.25">
      <c r="B5" s="2" t="s">
        <v>3</v>
      </c>
      <c r="C5" s="5">
        <v>25000</v>
      </c>
      <c r="E5" s="2" t="s">
        <v>9</v>
      </c>
      <c r="F5" s="4">
        <f>C5*C6</f>
        <v>205332.27848227846</v>
      </c>
    </row>
    <row r="6" spans="2:6" ht="19" x14ac:dyDescent="0.25">
      <c r="B6" s="2" t="s">
        <v>6</v>
      </c>
      <c r="C6" s="12">
        <v>8.2132911392911385</v>
      </c>
      <c r="E6" s="2" t="s">
        <v>10</v>
      </c>
      <c r="F6" s="4">
        <f>C5*-C7</f>
        <v>-68750</v>
      </c>
    </row>
    <row r="7" spans="2:6" ht="19" x14ac:dyDescent="0.25">
      <c r="B7" s="2" t="s">
        <v>5</v>
      </c>
      <c r="C7" s="6">
        <v>2.75</v>
      </c>
      <c r="E7" s="8" t="s">
        <v>11</v>
      </c>
      <c r="F7" s="10">
        <f>SUM(F5:F6)</f>
        <v>136582.27848227846</v>
      </c>
    </row>
    <row r="8" spans="2:6" ht="19" x14ac:dyDescent="0.25">
      <c r="B8" s="2" t="s">
        <v>7</v>
      </c>
      <c r="C8" s="5">
        <v>10000</v>
      </c>
      <c r="E8" s="2" t="s">
        <v>7</v>
      </c>
      <c r="F8" s="4">
        <f>-C8</f>
        <v>-10000</v>
      </c>
    </row>
    <row r="9" spans="2:6" ht="19" x14ac:dyDescent="0.25">
      <c r="B9" s="2" t="s">
        <v>8</v>
      </c>
      <c r="C9" s="7">
        <v>0.21</v>
      </c>
      <c r="E9" s="8" t="s">
        <v>12</v>
      </c>
      <c r="F9" s="10">
        <f>SUM(F7:F8)</f>
        <v>126582.27848227846</v>
      </c>
    </row>
    <row r="10" spans="2:6" ht="19" x14ac:dyDescent="0.25">
      <c r="B10" s="2"/>
      <c r="C10" s="2"/>
      <c r="E10" s="2" t="s">
        <v>13</v>
      </c>
      <c r="F10" s="4">
        <f>IF(F9&lt;0,"0",F9*-C9)</f>
        <v>-26582.278481278474</v>
      </c>
    </row>
    <row r="11" spans="2:6" ht="22" x14ac:dyDescent="0.3">
      <c r="B11" s="1" t="s">
        <v>15</v>
      </c>
      <c r="C11" s="1"/>
      <c r="E11" s="9" t="s">
        <v>14</v>
      </c>
      <c r="F11" s="11">
        <f>SUM(F9:F10)</f>
        <v>100000.00000099998</v>
      </c>
    </row>
    <row r="12" spans="2:6" ht="19" x14ac:dyDescent="0.25">
      <c r="B12" s="13" t="s">
        <v>16</v>
      </c>
      <c r="C12" s="4">
        <v>100000</v>
      </c>
    </row>
    <row r="13" spans="2:6" ht="19" x14ac:dyDescent="0.25">
      <c r="B13" s="13" t="s">
        <v>17</v>
      </c>
      <c r="C13" s="4">
        <v>25000</v>
      </c>
    </row>
    <row r="14" spans="2:6" ht="19" x14ac:dyDescent="0.25">
      <c r="B14" s="13" t="s">
        <v>18</v>
      </c>
      <c r="C14" s="3">
        <v>9.99</v>
      </c>
    </row>
  </sheetData>
  <mergeCells count="4">
    <mergeCell ref="B2:F2"/>
    <mergeCell ref="B4:C4"/>
    <mergeCell ref="E4:F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CCA2-0F26-D941-8231-C1AB6240B263}">
  <dimension ref="B2:N14"/>
  <sheetViews>
    <sheetView showGridLines="0" workbookViewId="0">
      <selection activeCell="F19" sqref="F19"/>
    </sheetView>
  </sheetViews>
  <sheetFormatPr baseColWidth="10" defaultRowHeight="16" x14ac:dyDescent="0.2"/>
  <cols>
    <col min="2" max="2" width="17.6640625" customWidth="1"/>
    <col min="4" max="4" width="6.33203125" customWidth="1"/>
    <col min="5" max="5" width="20" bestFit="1" customWidth="1"/>
    <col min="6" max="6" width="10.1640625" bestFit="1" customWidth="1"/>
    <col min="8" max="8" width="5.5" customWidth="1"/>
    <col min="9" max="9" width="10.1640625" bestFit="1" customWidth="1"/>
    <col min="10" max="10" width="12" bestFit="1" customWidth="1"/>
    <col min="11" max="14" width="13.1640625" bestFit="1" customWidth="1"/>
  </cols>
  <sheetData>
    <row r="2" spans="2:14" ht="22" x14ac:dyDescent="0.3">
      <c r="B2" s="1" t="s">
        <v>19</v>
      </c>
      <c r="C2" s="1"/>
      <c r="D2" s="1"/>
      <c r="E2" s="1"/>
      <c r="F2" s="1"/>
      <c r="H2" s="1" t="s">
        <v>20</v>
      </c>
      <c r="I2" s="1"/>
      <c r="J2" s="1"/>
      <c r="K2" s="1"/>
      <c r="L2" s="1"/>
      <c r="M2" s="1"/>
      <c r="N2" s="1"/>
    </row>
    <row r="3" spans="2:14" ht="19" x14ac:dyDescent="0.25">
      <c r="I3" s="15"/>
      <c r="J3" s="14" t="s">
        <v>21</v>
      </c>
      <c r="K3" s="14"/>
      <c r="L3" s="14"/>
      <c r="M3" s="14"/>
      <c r="N3" s="14"/>
    </row>
    <row r="4" spans="2:14" ht="22" x14ac:dyDescent="0.3">
      <c r="B4" s="1" t="s">
        <v>1</v>
      </c>
      <c r="C4" s="1"/>
      <c r="E4" s="1" t="s">
        <v>2</v>
      </c>
      <c r="F4" s="1"/>
      <c r="H4" s="16"/>
      <c r="I4" s="17">
        <f>F11</f>
        <v>100000.00000099998</v>
      </c>
      <c r="J4" s="18">
        <f>K4-5000</f>
        <v>15000</v>
      </c>
      <c r="K4" s="18">
        <f>L4-5000</f>
        <v>20000</v>
      </c>
      <c r="L4" s="19">
        <v>25000</v>
      </c>
      <c r="M4" s="18">
        <f>L4+5000</f>
        <v>30000</v>
      </c>
      <c r="N4" s="18">
        <f>M4+5000</f>
        <v>35000</v>
      </c>
    </row>
    <row r="5" spans="2:14" ht="19" customHeight="1" x14ac:dyDescent="0.25">
      <c r="B5" s="2" t="s">
        <v>3</v>
      </c>
      <c r="C5" s="5">
        <v>25000</v>
      </c>
      <c r="E5" s="2" t="s">
        <v>9</v>
      </c>
      <c r="F5" s="4">
        <f>C5*C6</f>
        <v>205332.27848227846</v>
      </c>
      <c r="H5" s="20" t="s">
        <v>4</v>
      </c>
      <c r="I5" s="21">
        <f>I6-1</f>
        <v>6.2132911392911385</v>
      </c>
      <c r="J5" s="23">
        <f t="dataTable" ref="J5:N9" dt2D="1" dtr="1" r1="C5" r2="C6"/>
        <v>33140.00000059999</v>
      </c>
      <c r="K5" s="24">
        <v>46820.000000799992</v>
      </c>
      <c r="L5" s="24">
        <v>60500.000000999986</v>
      </c>
      <c r="M5" s="24">
        <v>74180.00000119998</v>
      </c>
      <c r="N5" s="24">
        <v>87860.000001399982</v>
      </c>
    </row>
    <row r="6" spans="2:14" ht="19" x14ac:dyDescent="0.25">
      <c r="B6" s="2" t="s">
        <v>6</v>
      </c>
      <c r="C6" s="12">
        <v>8.2132911392911385</v>
      </c>
      <c r="E6" s="2" t="s">
        <v>10</v>
      </c>
      <c r="F6" s="4">
        <f>C5*-C7</f>
        <v>-68750</v>
      </c>
      <c r="H6" s="20"/>
      <c r="I6" s="21">
        <f>I7-1</f>
        <v>7.2132911392911385</v>
      </c>
      <c r="J6" s="25">
        <v>44990.00000059999</v>
      </c>
      <c r="K6" s="26">
        <v>62620.000000799984</v>
      </c>
      <c r="L6" s="26">
        <v>80250.000000999979</v>
      </c>
      <c r="M6" s="26">
        <v>97880.00000119998</v>
      </c>
      <c r="N6" s="24">
        <v>115510.00000139998</v>
      </c>
    </row>
    <row r="7" spans="2:14" ht="19" x14ac:dyDescent="0.25">
      <c r="B7" s="2" t="s">
        <v>5</v>
      </c>
      <c r="C7" s="6">
        <v>2.75</v>
      </c>
      <c r="E7" s="8" t="s">
        <v>11</v>
      </c>
      <c r="F7" s="10">
        <f>SUM(F5:F6)</f>
        <v>136582.27848227846</v>
      </c>
      <c r="H7" s="20"/>
      <c r="I7" s="22">
        <v>8.2132911392911385</v>
      </c>
      <c r="J7" s="25">
        <v>56840.00000059999</v>
      </c>
      <c r="K7" s="26">
        <v>78420.000000799977</v>
      </c>
      <c r="L7" s="27">
        <v>100000.00000099998</v>
      </c>
      <c r="M7" s="26">
        <v>121580.00000119998</v>
      </c>
      <c r="N7" s="24">
        <v>143160.00000139998</v>
      </c>
    </row>
    <row r="8" spans="2:14" ht="19" x14ac:dyDescent="0.25">
      <c r="B8" s="2" t="s">
        <v>7</v>
      </c>
      <c r="C8" s="5">
        <v>10000</v>
      </c>
      <c r="E8" s="2" t="s">
        <v>7</v>
      </c>
      <c r="F8" s="4">
        <f>-C8</f>
        <v>-10000</v>
      </c>
      <c r="H8" s="20"/>
      <c r="I8" s="21">
        <f>I7+1</f>
        <v>9.2132911392911385</v>
      </c>
      <c r="J8" s="25">
        <v>68690.000000599975</v>
      </c>
      <c r="K8" s="26">
        <v>94220.000000799977</v>
      </c>
      <c r="L8" s="26">
        <v>119750.00000099998</v>
      </c>
      <c r="M8" s="26">
        <v>145280.00000119995</v>
      </c>
      <c r="N8" s="24">
        <v>170810.00000139998</v>
      </c>
    </row>
    <row r="9" spans="2:14" ht="19" x14ac:dyDescent="0.25">
      <c r="B9" s="2" t="s">
        <v>8</v>
      </c>
      <c r="C9" s="7">
        <v>0.21</v>
      </c>
      <c r="E9" s="8" t="s">
        <v>12</v>
      </c>
      <c r="F9" s="10">
        <f>SUM(F7:F8)</f>
        <v>126582.27848227846</v>
      </c>
      <c r="H9" s="20"/>
      <c r="I9" s="21">
        <f>I8+1</f>
        <v>10.213291139291139</v>
      </c>
      <c r="J9" s="25">
        <v>80540.000000599975</v>
      </c>
      <c r="K9" s="24">
        <v>110020.00000079998</v>
      </c>
      <c r="L9" s="24">
        <v>139500.00000099998</v>
      </c>
      <c r="M9" s="24">
        <v>168980.00000119995</v>
      </c>
      <c r="N9" s="24">
        <v>198460.00000139998</v>
      </c>
    </row>
    <row r="10" spans="2:14" ht="19" x14ac:dyDescent="0.25">
      <c r="B10" s="2"/>
      <c r="C10" s="2"/>
      <c r="E10" s="2" t="s">
        <v>13</v>
      </c>
      <c r="F10" s="4">
        <f>IF(F9&lt;0,"0",F9*-C9)</f>
        <v>-26582.278481278474</v>
      </c>
    </row>
    <row r="11" spans="2:14" ht="22" x14ac:dyDescent="0.3">
      <c r="B11" s="1" t="s">
        <v>15</v>
      </c>
      <c r="C11" s="1"/>
      <c r="E11" s="9" t="s">
        <v>14</v>
      </c>
      <c r="F11" s="11">
        <f>SUM(F9:F10)</f>
        <v>100000.00000099998</v>
      </c>
    </row>
    <row r="12" spans="2:14" ht="19" x14ac:dyDescent="0.25">
      <c r="B12" s="13" t="s">
        <v>16</v>
      </c>
      <c r="C12" s="4">
        <v>100000</v>
      </c>
    </row>
    <row r="13" spans="2:14" ht="19" x14ac:dyDescent="0.25">
      <c r="B13" s="13" t="s">
        <v>17</v>
      </c>
      <c r="C13" s="4">
        <v>25000</v>
      </c>
    </row>
    <row r="14" spans="2:14" ht="19" x14ac:dyDescent="0.25">
      <c r="B14" s="13" t="s">
        <v>18</v>
      </c>
      <c r="C14" s="3">
        <v>9.99</v>
      </c>
    </row>
  </sheetData>
  <mergeCells count="7">
    <mergeCell ref="B2:F2"/>
    <mergeCell ref="B4:C4"/>
    <mergeCell ref="E4:F4"/>
    <mergeCell ref="B11:C11"/>
    <mergeCell ref="H2:N2"/>
    <mergeCell ref="J3:N3"/>
    <mergeCell ref="H5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BB31-F188-DA4F-9A2F-BC666DBEFA4D}">
  <dimension ref="B2:E18"/>
  <sheetViews>
    <sheetView workbookViewId="0">
      <selection activeCell="D11" sqref="D11"/>
    </sheetView>
  </sheetViews>
  <sheetFormatPr baseColWidth="10" defaultRowHeight="16" x14ac:dyDescent="0.2"/>
  <cols>
    <col min="2" max="2" width="22.1640625" customWidth="1"/>
    <col min="3" max="3" width="15.83203125" style="37" customWidth="1"/>
  </cols>
  <sheetData>
    <row r="2" spans="2:5" ht="22" x14ac:dyDescent="0.3">
      <c r="B2" s="28" t="s">
        <v>22</v>
      </c>
      <c r="C2" s="28"/>
      <c r="D2" s="28"/>
      <c r="E2" s="28"/>
    </row>
    <row r="3" spans="2:5" ht="19" x14ac:dyDescent="0.25">
      <c r="B3" s="29" t="s">
        <v>23</v>
      </c>
      <c r="C3" s="42">
        <v>45658</v>
      </c>
      <c r="D3" s="39">
        <f>EDATE(C3,12)</f>
        <v>46023</v>
      </c>
      <c r="E3" s="39">
        <f>EDATE(D3,12)</f>
        <v>46388</v>
      </c>
    </row>
    <row r="4" spans="2:5" ht="19" x14ac:dyDescent="0.25">
      <c r="B4" s="2" t="s">
        <v>24</v>
      </c>
      <c r="C4" s="45">
        <f>CHOOSE($C$8,C11,C12,C13)</f>
        <v>50000</v>
      </c>
      <c r="D4" s="45">
        <f t="shared" ref="D4:E4" si="0">CHOOSE($C$8,D11,D12,D13)</f>
        <v>125000</v>
      </c>
      <c r="E4" s="45">
        <f t="shared" si="0"/>
        <v>250000</v>
      </c>
    </row>
    <row r="5" spans="2:5" ht="19" x14ac:dyDescent="0.25">
      <c r="B5" s="2" t="s">
        <v>25</v>
      </c>
      <c r="C5" s="45">
        <f>CHOOSE($C$8,C16,C17,C18,)</f>
        <v>-5000</v>
      </c>
      <c r="D5" s="45">
        <f t="shared" ref="D5:E5" si="1">CHOOSE($C$8,D16,D17,D18,)</f>
        <v>-12500</v>
      </c>
      <c r="E5" s="45">
        <f t="shared" si="1"/>
        <v>-25000</v>
      </c>
    </row>
    <row r="6" spans="2:5" ht="20" thickBot="1" x14ac:dyDescent="0.3">
      <c r="B6" s="43" t="s">
        <v>26</v>
      </c>
      <c r="C6" s="46">
        <f>SUM(C4:C5)</f>
        <v>45000</v>
      </c>
      <c r="D6" s="46">
        <f t="shared" ref="D6:E6" si="2">SUM(D4:D5)</f>
        <v>112500</v>
      </c>
      <c r="E6" s="46">
        <f t="shared" si="2"/>
        <v>225000</v>
      </c>
    </row>
    <row r="7" spans="2:5" ht="19" x14ac:dyDescent="0.25">
      <c r="B7" s="40"/>
      <c r="C7" s="41"/>
      <c r="D7" s="40"/>
      <c r="E7" s="40"/>
    </row>
    <row r="8" spans="2:5" ht="19" x14ac:dyDescent="0.25">
      <c r="B8" s="44" t="s">
        <v>32</v>
      </c>
      <c r="C8" s="41">
        <v>1</v>
      </c>
      <c r="D8" s="40"/>
      <c r="E8" s="40"/>
    </row>
    <row r="9" spans="2:5" ht="19" x14ac:dyDescent="0.25">
      <c r="B9" s="40"/>
      <c r="C9" s="41"/>
      <c r="D9" s="40"/>
      <c r="E9" s="40"/>
    </row>
    <row r="10" spans="2:5" ht="19" x14ac:dyDescent="0.25">
      <c r="B10" s="38" t="s">
        <v>27</v>
      </c>
      <c r="C10" s="34"/>
      <c r="D10" s="30"/>
      <c r="E10" s="30"/>
    </row>
    <row r="11" spans="2:5" ht="19" x14ac:dyDescent="0.25">
      <c r="B11" s="31" t="s">
        <v>28</v>
      </c>
      <c r="C11" s="35">
        <v>50000</v>
      </c>
      <c r="D11" s="32">
        <v>125000</v>
      </c>
      <c r="E11" s="32">
        <v>250000</v>
      </c>
    </row>
    <row r="12" spans="2:5" ht="19" x14ac:dyDescent="0.25">
      <c r="B12" s="31" t="s">
        <v>29</v>
      </c>
      <c r="C12" s="35">
        <v>25000</v>
      </c>
      <c r="D12" s="32">
        <v>37500</v>
      </c>
      <c r="E12" s="32">
        <v>50000</v>
      </c>
    </row>
    <row r="13" spans="2:5" ht="19" x14ac:dyDescent="0.25">
      <c r="B13" s="31" t="s">
        <v>30</v>
      </c>
      <c r="C13" s="35">
        <v>12500</v>
      </c>
      <c r="D13" s="32">
        <v>13000</v>
      </c>
      <c r="E13" s="32">
        <v>13250</v>
      </c>
    </row>
    <row r="14" spans="2:5" ht="19" x14ac:dyDescent="0.25">
      <c r="B14" s="30"/>
      <c r="C14" s="36"/>
      <c r="D14" s="33"/>
      <c r="E14" s="33"/>
    </row>
    <row r="15" spans="2:5" ht="19" x14ac:dyDescent="0.25">
      <c r="B15" s="38" t="s">
        <v>31</v>
      </c>
      <c r="C15" s="36"/>
      <c r="D15" s="33"/>
      <c r="E15" s="33"/>
    </row>
    <row r="16" spans="2:5" ht="19" x14ac:dyDescent="0.25">
      <c r="B16" s="31" t="s">
        <v>28</v>
      </c>
      <c r="C16" s="35">
        <v>-5000</v>
      </c>
      <c r="D16" s="32">
        <v>-12500</v>
      </c>
      <c r="E16" s="32">
        <v>-25000</v>
      </c>
    </row>
    <row r="17" spans="2:5" ht="19" x14ac:dyDescent="0.25">
      <c r="B17" s="31" t="s">
        <v>29</v>
      </c>
      <c r="C17" s="35">
        <v>-16000</v>
      </c>
      <c r="D17" s="32">
        <v>-25000</v>
      </c>
      <c r="E17" s="32">
        <v>-37500</v>
      </c>
    </row>
    <row r="18" spans="2:5" ht="19" x14ac:dyDescent="0.25">
      <c r="B18" s="31" t="s">
        <v>30</v>
      </c>
      <c r="C18" s="35">
        <v>-22500</v>
      </c>
      <c r="D18" s="32">
        <v>-30000</v>
      </c>
      <c r="E18" s="32">
        <v>-45000</v>
      </c>
    </row>
  </sheetData>
  <mergeCells count="1">
    <mergeCell ref="B2:E2"/>
  </mergeCells>
  <dataValidations count="1">
    <dataValidation type="list" allowBlank="1" showInputMessage="1" showErrorMessage="1" sqref="C8" xr:uid="{4820E3F8-8D01-AA47-920C-FCBCC70D4C42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</vt:lpstr>
      <vt:lpstr>Sensitivity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LaShonda Dickson</dc:creator>
  <cp:lastModifiedBy>LaShonda Dickson</cp:lastModifiedBy>
  <dcterms:created xsi:type="dcterms:W3CDTF">2025-11-10T19:10:28Z</dcterms:created>
  <dcterms:modified xsi:type="dcterms:W3CDTF">2025-11-10T20:11:09Z</dcterms:modified>
</cp:coreProperties>
</file>